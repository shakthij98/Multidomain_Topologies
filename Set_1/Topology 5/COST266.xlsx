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44" windowHeight="11868" activeTab="1"/>
  </bookViews>
  <sheets>
    <sheet name="Nodes" sheetId="1" r:id="rId1"/>
    <sheet name="Ed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<sst xmlns="http://schemas.openxmlformats.org/spreadsheetml/2006/main" count="724" uniqueCount="115">
  <si>
    <t>Node_ID</t>
  </si>
  <si>
    <t>Latitude</t>
  </si>
  <si>
    <t>Longitude</t>
  </si>
  <si>
    <t>Location Name</t>
  </si>
  <si>
    <t>Country</t>
  </si>
  <si>
    <t>Domain</t>
  </si>
  <si>
    <t>Border</t>
  </si>
  <si>
    <t>node_prob</t>
  </si>
  <si>
    <t>Hannover</t>
  </si>
  <si>
    <t>Germany</t>
  </si>
  <si>
    <t>FALSE</t>
  </si>
  <si>
    <t>Frankfurt</t>
  </si>
  <si>
    <t>TRUE</t>
  </si>
  <si>
    <t>Hamburg</t>
  </si>
  <si>
    <t>Norden</t>
  </si>
  <si>
    <t>Bremen</t>
  </si>
  <si>
    <t>Berlin</t>
  </si>
  <si>
    <t>Munich</t>
  </si>
  <si>
    <t>Ulm</t>
  </si>
  <si>
    <t>Nuernberg</t>
  </si>
  <si>
    <t>Stuttgart</t>
  </si>
  <si>
    <t>Karlsruhe</t>
  </si>
  <si>
    <t>Mannheim</t>
  </si>
  <si>
    <t>Essen</t>
  </si>
  <si>
    <t>Dortmund</t>
  </si>
  <si>
    <t>Dusseldorf</t>
  </si>
  <si>
    <t>Koeln</t>
  </si>
  <si>
    <t>Leipzig</t>
  </si>
  <si>
    <t>Calais</t>
  </si>
  <si>
    <t>France</t>
  </si>
  <si>
    <t>Orleans</t>
  </si>
  <si>
    <t>Paris</t>
  </si>
  <si>
    <t>Chalons-en-Champagne</t>
  </si>
  <si>
    <t>Arras</t>
  </si>
  <si>
    <t>Bar-le-Duc</t>
  </si>
  <si>
    <t>Strasbourg</t>
  </si>
  <si>
    <t>Brest</t>
  </si>
  <si>
    <t>Lorient</t>
  </si>
  <si>
    <t>Limoges</t>
  </si>
  <si>
    <t>Poitiers</t>
  </si>
  <si>
    <t>Bayonne</t>
  </si>
  <si>
    <t>Agen</t>
  </si>
  <si>
    <t>Grenoble</t>
  </si>
  <si>
    <t>Tours</t>
  </si>
  <si>
    <t>Bordeaux</t>
  </si>
  <si>
    <t>Lyon</t>
  </si>
  <si>
    <t>Marseille</t>
  </si>
  <si>
    <t>Milan</t>
  </si>
  <si>
    <t>Italy</t>
  </si>
  <si>
    <t>Turin</t>
  </si>
  <si>
    <t>Genoa</t>
  </si>
  <si>
    <t>Bologna</t>
  </si>
  <si>
    <t>Florence</t>
  </si>
  <si>
    <t>Rome</t>
  </si>
  <si>
    <t>Naples</t>
  </si>
  <si>
    <t>Palermo</t>
  </si>
  <si>
    <t>Amsterdam</t>
  </si>
  <si>
    <t>Netherlands</t>
  </si>
  <si>
    <t>Delft</t>
  </si>
  <si>
    <t>Gouda</t>
  </si>
  <si>
    <t>Leiden</t>
  </si>
  <si>
    <t>Rotterdam</t>
  </si>
  <si>
    <t>Utrecht</t>
  </si>
  <si>
    <t>Pamplona</t>
  </si>
  <si>
    <t>Spain</t>
  </si>
  <si>
    <t>Logrono</t>
  </si>
  <si>
    <t>Murguia</t>
  </si>
  <si>
    <t>Valencia</t>
  </si>
  <si>
    <t>Zaragoza</t>
  </si>
  <si>
    <t>Barcelona</t>
  </si>
  <si>
    <t>Santiago de Compostela</t>
  </si>
  <si>
    <t>Sevilla</t>
  </si>
  <si>
    <t>Madrid</t>
  </si>
  <si>
    <t>Valladolid</t>
  </si>
  <si>
    <t>Lausanne (EPFL)</t>
  </si>
  <si>
    <t>Switzerland</t>
  </si>
  <si>
    <t>Bern</t>
  </si>
  <si>
    <t>Zurich (ETH)</t>
  </si>
  <si>
    <t>Manno</t>
  </si>
  <si>
    <t>Neuchatel</t>
  </si>
  <si>
    <t>Geneva</t>
  </si>
  <si>
    <t>Basel</t>
  </si>
  <si>
    <t>Brussels</t>
  </si>
  <si>
    <t>Belgium</t>
  </si>
  <si>
    <t>Antwerpen</t>
  </si>
  <si>
    <t>Gent</t>
  </si>
  <si>
    <t>Liege</t>
  </si>
  <si>
    <t>Mons</t>
  </si>
  <si>
    <t>London</t>
  </si>
  <si>
    <t>United Kingdom</t>
  </si>
  <si>
    <t>Birmingham</t>
  </si>
  <si>
    <t>Edinburgh</t>
  </si>
  <si>
    <t>Manchester</t>
  </si>
  <si>
    <t>Reading</t>
  </si>
  <si>
    <t>Milton Keynes</t>
  </si>
  <si>
    <t>Ilford</t>
  </si>
  <si>
    <t>Ealing</t>
  </si>
  <si>
    <t>Glasgow</t>
  </si>
  <si>
    <t>Aveiro</t>
  </si>
  <si>
    <t>Portugal</t>
  </si>
  <si>
    <t>Caldas da Rainha</t>
  </si>
  <si>
    <t>Coimbra</t>
  </si>
  <si>
    <t>Leiria</t>
  </si>
  <si>
    <t>Lisboa</t>
  </si>
  <si>
    <t>Porto</t>
  </si>
  <si>
    <t>Santarem</t>
  </si>
  <si>
    <t>Sao Joao da Madeira</t>
  </si>
  <si>
    <t>Edge_ID</t>
  </si>
  <si>
    <t>Source</t>
  </si>
  <si>
    <t>Destination</t>
  </si>
  <si>
    <t>Dst Name</t>
  </si>
  <si>
    <t>Computed Length (km)</t>
  </si>
  <si>
    <t>Availability</t>
  </si>
  <si>
    <t>Capacity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</si>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</sst>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6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7" borderId="4">
      <alignment vertical="center"/>
    </xf>
    <xf numFmtId="0" fontId="10" fillId="8" borderId="5">
      <alignment vertical="center"/>
    </xf>
    <xf numFmtId="0" fontId="11" fillId="8" borderId="4">
      <alignment vertical="center"/>
    </xf>
    <xf numFmtId="0" fontId="12" fillId="9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0" borderId="0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18" fillId="36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Fill="1" applyAlignment="1"/>
    <xf numFmtId="0" fontId="0" fillId="2" borderId="0" xfId="0" applyFill="1" applyAlignment="1"/>
    <xf numFmtId="176" fontId="0" fillId="2" borderId="0" xfId="0" applyNumberFormat="1" applyFill="1" applyAlignment="1"/>
    <xf numFmtId="0" fontId="0" fillId="0" borderId="0" xfId="0" applyAlignment="1">
      <alignment vertical="center" wrapText="1"/>
    </xf>
    <xf numFmtId="0" fontId="0" fillId="3" borderId="0" xfId="0" applyFill="1" applyAlignment="1"/>
    <xf numFmtId="176" fontId="0" fillId="3" borderId="0" xfId="0" applyNumberFormat="1" applyFill="1" applyAlignment="1">
      <alignment vertical="center"/>
    </xf>
    <xf numFmtId="0" fontId="0" fillId="3" borderId="0" xfId="0" applyFont="1" applyFill="1" applyAlignment="1"/>
    <xf numFmtId="0" fontId="0" fillId="4" borderId="0" xfId="0" applyFill="1" applyAlignment="1"/>
    <xf numFmtId="176" fontId="0" fillId="4" borderId="0" xfId="0" applyNumberFormat="1" applyFill="1" applyAlignment="1">
      <alignment vertical="center"/>
    </xf>
    <xf numFmtId="176" fontId="0" fillId="0" borderId="0" xfId="0" applyNumberFormat="1" applyAlignment="1">
      <alignment vertical="center"/>
    </xf>
    <xf numFmtId="0" fontId="0" fillId="5" borderId="0" xfId="0" applyFill="1" applyAlignment="1"/>
    <xf numFmtId="0" fontId="0" fillId="5" borderId="0" xfId="0" applyFont="1" applyFill="1" applyAlignment="1"/>
    <xf numFmtId="176" fontId="0" fillId="5" borderId="0" xfId="0" applyNumberFormat="1" applyFill="1" applyAlignment="1">
      <alignment vertical="center"/>
    </xf>
    <xf numFmtId="0" fontId="0" fillId="0" borderId="0" xfId="0" applyFont="1" applyFill="1" applyAlignment="1"/>
    <xf numFmtId="0" fontId="0" fillId="0" borderId="0" xfId="0">
      <alignment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workbookViewId="0">
      <pane ySplit="1" topLeftCell="A2" activePane="bottomLeft" state="frozen"/>
      <selection/>
      <selection pane="bottomLeft" activeCell="G2" sqref="G2"/>
    </sheetView>
  </sheetViews>
  <sheetFormatPr defaultColWidth="9" defaultRowHeight="14.4" outlineLevelCol="7"/>
  <cols>
    <col min="2" max="2" width="16.2222222222222" customWidth="1"/>
    <col min="3" max="3" width="12.1111111111111" customWidth="1"/>
    <col min="4" max="4" width="23.2222222222222" customWidth="1"/>
    <col min="5" max="5" width="15.11111111111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>
        <v>52.39</v>
      </c>
      <c r="C2" s="1">
        <v>9.8</v>
      </c>
      <c r="D2" s="1" t="s">
        <v>8</v>
      </c>
      <c r="E2" s="1" t="s">
        <v>9</v>
      </c>
      <c r="F2" s="1">
        <v>1</v>
      </c>
      <c r="G2" s="16" t="s">
        <v>10</v>
      </c>
      <c r="H2" s="1">
        <v>1</v>
      </c>
    </row>
    <row r="3" spans="1:8">
      <c r="A3" s="1">
        <v>2</v>
      </c>
      <c r="B3" s="1">
        <v>50.1</v>
      </c>
      <c r="C3" s="1">
        <v>8.67</v>
      </c>
      <c r="D3" s="1" t="s">
        <v>11</v>
      </c>
      <c r="E3" s="1" t="s">
        <v>9</v>
      </c>
      <c r="F3" s="1">
        <v>1</v>
      </c>
      <c r="G3" s="16" t="s">
        <v>12</v>
      </c>
      <c r="H3" s="1">
        <v>1</v>
      </c>
    </row>
    <row r="4" spans="1:8">
      <c r="A4" s="1">
        <v>3</v>
      </c>
      <c r="B4" s="1">
        <v>53.55</v>
      </c>
      <c r="C4" s="1">
        <v>10.02</v>
      </c>
      <c r="D4" s="1" t="s">
        <v>13</v>
      </c>
      <c r="E4" s="1" t="s">
        <v>9</v>
      </c>
      <c r="F4" s="1">
        <v>1</v>
      </c>
      <c r="G4" s="16" t="s">
        <v>12</v>
      </c>
      <c r="H4" s="1">
        <v>1</v>
      </c>
    </row>
    <row r="5" spans="1:8">
      <c r="A5" s="1">
        <v>4</v>
      </c>
      <c r="B5" s="1">
        <v>53.6</v>
      </c>
      <c r="C5" s="1">
        <v>7.21</v>
      </c>
      <c r="D5" s="1" t="s">
        <v>14</v>
      </c>
      <c r="E5" s="1" t="s">
        <v>9</v>
      </c>
      <c r="F5" s="1">
        <v>1</v>
      </c>
      <c r="G5" s="16" t="s">
        <v>10</v>
      </c>
      <c r="H5" s="1">
        <v>1</v>
      </c>
    </row>
    <row r="6" spans="1:8">
      <c r="A6" s="1">
        <v>5</v>
      </c>
      <c r="B6" s="1">
        <v>53.08</v>
      </c>
      <c r="C6" s="1">
        <v>8.8</v>
      </c>
      <c r="D6" s="1" t="s">
        <v>15</v>
      </c>
      <c r="E6" s="1" t="s">
        <v>9</v>
      </c>
      <c r="F6" s="1">
        <v>1</v>
      </c>
      <c r="G6" s="16" t="s">
        <v>10</v>
      </c>
      <c r="H6" s="1">
        <v>1</v>
      </c>
    </row>
    <row r="7" spans="1:8">
      <c r="A7" s="1">
        <v>6</v>
      </c>
      <c r="B7" s="1">
        <v>52.52</v>
      </c>
      <c r="C7" s="1">
        <v>13.4</v>
      </c>
      <c r="D7" s="1" t="s">
        <v>16</v>
      </c>
      <c r="E7" s="1" t="s">
        <v>9</v>
      </c>
      <c r="F7" s="1">
        <v>1</v>
      </c>
      <c r="G7" s="16" t="s">
        <v>10</v>
      </c>
      <c r="H7" s="1">
        <v>1</v>
      </c>
    </row>
    <row r="8" spans="1:8">
      <c r="A8" s="1">
        <v>7</v>
      </c>
      <c r="B8" s="1">
        <v>48.13</v>
      </c>
      <c r="C8" s="1">
        <v>11.57</v>
      </c>
      <c r="D8" s="1" t="s">
        <v>17</v>
      </c>
      <c r="E8" s="1" t="s">
        <v>9</v>
      </c>
      <c r="F8" s="1">
        <v>1</v>
      </c>
      <c r="G8" s="16" t="s">
        <v>12</v>
      </c>
      <c r="H8" s="1">
        <v>1</v>
      </c>
    </row>
    <row r="9" spans="1:8">
      <c r="A9" s="1">
        <v>8</v>
      </c>
      <c r="B9" s="1">
        <v>48.4</v>
      </c>
      <c r="C9" s="1">
        <v>9.99</v>
      </c>
      <c r="D9" s="1" t="s">
        <v>18</v>
      </c>
      <c r="E9" s="1" t="s">
        <v>9</v>
      </c>
      <c r="F9" s="1">
        <v>1</v>
      </c>
      <c r="G9" s="16" t="s">
        <v>10</v>
      </c>
      <c r="H9" s="1">
        <v>1</v>
      </c>
    </row>
    <row r="10" spans="1:8">
      <c r="A10" s="1">
        <v>9</v>
      </c>
      <c r="B10" s="1">
        <v>49.45</v>
      </c>
      <c r="C10" s="1">
        <v>11.08</v>
      </c>
      <c r="D10" s="1" t="s">
        <v>19</v>
      </c>
      <c r="E10" s="1" t="s">
        <v>9</v>
      </c>
      <c r="F10" s="1">
        <v>1</v>
      </c>
      <c r="G10" s="16" t="s">
        <v>10</v>
      </c>
      <c r="H10" s="1">
        <v>1</v>
      </c>
    </row>
    <row r="11" spans="1:8">
      <c r="A11" s="1">
        <v>10</v>
      </c>
      <c r="B11" s="1">
        <v>48.73</v>
      </c>
      <c r="C11" s="1">
        <v>9.12</v>
      </c>
      <c r="D11" s="1" t="s">
        <v>20</v>
      </c>
      <c r="E11" s="1" t="s">
        <v>9</v>
      </c>
      <c r="F11" s="1">
        <v>1</v>
      </c>
      <c r="G11" s="16" t="s">
        <v>10</v>
      </c>
      <c r="H11" s="1">
        <v>1</v>
      </c>
    </row>
    <row r="12" spans="1:8">
      <c r="A12" s="1">
        <v>11</v>
      </c>
      <c r="B12" s="1">
        <v>49.01</v>
      </c>
      <c r="C12" s="1">
        <v>8.41</v>
      </c>
      <c r="D12" s="1" t="s">
        <v>21</v>
      </c>
      <c r="E12" s="1" t="s">
        <v>9</v>
      </c>
      <c r="F12" s="1">
        <v>1</v>
      </c>
      <c r="G12" s="16" t="s">
        <v>10</v>
      </c>
      <c r="H12" s="1">
        <v>1</v>
      </c>
    </row>
    <row r="13" spans="1:8">
      <c r="A13" s="1">
        <v>12</v>
      </c>
      <c r="B13" s="1">
        <v>49.49</v>
      </c>
      <c r="C13" s="1">
        <v>8.49</v>
      </c>
      <c r="D13" s="1" t="s">
        <v>22</v>
      </c>
      <c r="E13" s="1" t="s">
        <v>9</v>
      </c>
      <c r="F13" s="1">
        <v>1</v>
      </c>
      <c r="G13" s="16" t="s">
        <v>10</v>
      </c>
      <c r="H13" s="1">
        <v>1</v>
      </c>
    </row>
    <row r="14" spans="1:8">
      <c r="A14" s="1">
        <v>13</v>
      </c>
      <c r="B14" s="1">
        <v>51.44</v>
      </c>
      <c r="C14" s="1">
        <v>7</v>
      </c>
      <c r="D14" s="1" t="s">
        <v>23</v>
      </c>
      <c r="E14" s="1" t="s">
        <v>9</v>
      </c>
      <c r="F14" s="1">
        <v>1</v>
      </c>
      <c r="G14" s="16" t="s">
        <v>10</v>
      </c>
      <c r="H14" s="1">
        <v>1</v>
      </c>
    </row>
    <row r="15" spans="1:8">
      <c r="A15" s="1">
        <v>14</v>
      </c>
      <c r="B15" s="1">
        <v>51.51</v>
      </c>
      <c r="C15" s="1">
        <v>7.48</v>
      </c>
      <c r="D15" s="1" t="s">
        <v>24</v>
      </c>
      <c r="E15" s="1" t="s">
        <v>9</v>
      </c>
      <c r="F15" s="1">
        <v>1</v>
      </c>
      <c r="G15" s="16" t="s">
        <v>10</v>
      </c>
      <c r="H15" s="1">
        <v>1</v>
      </c>
    </row>
    <row r="16" spans="1:8">
      <c r="A16" s="1">
        <v>15</v>
      </c>
      <c r="B16" s="1">
        <v>51.23</v>
      </c>
      <c r="C16" s="1">
        <v>6.78</v>
      </c>
      <c r="D16" s="1" t="s">
        <v>25</v>
      </c>
      <c r="E16" s="1" t="s">
        <v>9</v>
      </c>
      <c r="F16" s="1">
        <v>1</v>
      </c>
      <c r="G16" s="16" t="s">
        <v>12</v>
      </c>
      <c r="H16" s="1">
        <v>1</v>
      </c>
    </row>
    <row r="17" spans="1:8">
      <c r="A17" s="1">
        <v>16</v>
      </c>
      <c r="B17" s="1">
        <v>50.92</v>
      </c>
      <c r="C17" s="1">
        <v>7.01</v>
      </c>
      <c r="D17" s="1" t="s">
        <v>26</v>
      </c>
      <c r="E17" s="1" t="s">
        <v>9</v>
      </c>
      <c r="F17" s="1">
        <v>1</v>
      </c>
      <c r="G17" s="16" t="s">
        <v>10</v>
      </c>
      <c r="H17" s="1">
        <v>1</v>
      </c>
    </row>
    <row r="18" spans="1:8">
      <c r="A18" s="1">
        <v>17</v>
      </c>
      <c r="B18" s="1">
        <v>51.34</v>
      </c>
      <c r="C18" s="1">
        <v>12.38</v>
      </c>
      <c r="D18" s="1" t="s">
        <v>27</v>
      </c>
      <c r="E18" s="1" t="s">
        <v>9</v>
      </c>
      <c r="F18" s="1">
        <v>1</v>
      </c>
      <c r="G18" s="16" t="s">
        <v>10</v>
      </c>
      <c r="H18" s="1">
        <v>1</v>
      </c>
    </row>
    <row r="19" spans="1:8">
      <c r="A19" s="1">
        <v>18</v>
      </c>
      <c r="B19" s="1">
        <v>50.95</v>
      </c>
      <c r="C19" s="1">
        <v>1.86</v>
      </c>
      <c r="D19" s="1" t="s">
        <v>28</v>
      </c>
      <c r="E19" s="1" t="s">
        <v>29</v>
      </c>
      <c r="F19">
        <v>2</v>
      </c>
      <c r="G19" s="16" t="b">
        <v>0</v>
      </c>
      <c r="H19" s="1">
        <v>1</v>
      </c>
    </row>
    <row r="20" spans="1:8">
      <c r="A20" s="1">
        <v>19</v>
      </c>
      <c r="B20" s="1">
        <v>47.9</v>
      </c>
      <c r="C20" s="1">
        <v>1.91</v>
      </c>
      <c r="D20" s="1" t="s">
        <v>30</v>
      </c>
      <c r="E20" s="1" t="s">
        <v>29</v>
      </c>
      <c r="F20">
        <v>2</v>
      </c>
      <c r="G20" s="1" t="b">
        <v>0</v>
      </c>
      <c r="H20" s="1">
        <v>1</v>
      </c>
    </row>
    <row r="21" spans="1:8">
      <c r="A21" s="1">
        <v>20</v>
      </c>
      <c r="B21" s="1">
        <v>48.85</v>
      </c>
      <c r="C21" s="1">
        <v>2.35</v>
      </c>
      <c r="D21" s="1" t="s">
        <v>31</v>
      </c>
      <c r="E21" s="1" t="s">
        <v>29</v>
      </c>
      <c r="F21">
        <v>2</v>
      </c>
      <c r="G21" s="16" t="s">
        <v>12</v>
      </c>
      <c r="H21" s="1">
        <v>1</v>
      </c>
    </row>
    <row r="22" spans="1:8">
      <c r="A22" s="1">
        <v>21</v>
      </c>
      <c r="B22" s="1">
        <v>48.96</v>
      </c>
      <c r="C22" s="1">
        <v>4.36</v>
      </c>
      <c r="D22" s="1" t="s">
        <v>32</v>
      </c>
      <c r="E22" s="1" t="s">
        <v>29</v>
      </c>
      <c r="F22">
        <v>2</v>
      </c>
      <c r="G22" s="1" t="b">
        <v>0</v>
      </c>
      <c r="H22" s="1">
        <v>1</v>
      </c>
    </row>
    <row r="23" spans="1:8">
      <c r="A23" s="1">
        <v>22</v>
      </c>
      <c r="B23" s="1">
        <v>50.29</v>
      </c>
      <c r="C23" s="1">
        <v>2.77</v>
      </c>
      <c r="D23" s="1" t="s">
        <v>33</v>
      </c>
      <c r="E23" s="1" t="s">
        <v>29</v>
      </c>
      <c r="F23">
        <v>2</v>
      </c>
      <c r="G23" s="1" t="b">
        <v>0</v>
      </c>
      <c r="H23" s="1">
        <v>1</v>
      </c>
    </row>
    <row r="24" spans="1:8">
      <c r="A24" s="1">
        <v>23</v>
      </c>
      <c r="B24" s="1">
        <v>48.77</v>
      </c>
      <c r="C24" s="1">
        <v>5.16</v>
      </c>
      <c r="D24" s="1" t="s">
        <v>34</v>
      </c>
      <c r="E24" s="1" t="s">
        <v>29</v>
      </c>
      <c r="F24">
        <v>2</v>
      </c>
      <c r="G24" s="1" t="b">
        <v>0</v>
      </c>
      <c r="H24" s="1">
        <v>1</v>
      </c>
    </row>
    <row r="25" spans="1:8">
      <c r="A25" s="1">
        <v>24</v>
      </c>
      <c r="B25" s="1">
        <v>48.58</v>
      </c>
      <c r="C25" s="1">
        <v>7.75</v>
      </c>
      <c r="D25" s="1" t="s">
        <v>35</v>
      </c>
      <c r="E25" s="1" t="s">
        <v>29</v>
      </c>
      <c r="F25">
        <v>2</v>
      </c>
      <c r="G25" s="16" t="s">
        <v>12</v>
      </c>
      <c r="H25" s="1">
        <v>1</v>
      </c>
    </row>
    <row r="26" spans="1:8">
      <c r="A26" s="1">
        <v>25</v>
      </c>
      <c r="B26" s="1">
        <v>48.39</v>
      </c>
      <c r="C26" s="1">
        <v>-4.49</v>
      </c>
      <c r="D26" s="1" t="s">
        <v>36</v>
      </c>
      <c r="E26" s="1" t="s">
        <v>29</v>
      </c>
      <c r="F26">
        <v>2</v>
      </c>
      <c r="G26" s="1" t="b">
        <v>0</v>
      </c>
      <c r="H26" s="1">
        <v>1</v>
      </c>
    </row>
    <row r="27" spans="1:8">
      <c r="A27" s="1">
        <v>26</v>
      </c>
      <c r="B27" s="1">
        <v>47.75</v>
      </c>
      <c r="C27" s="1">
        <v>-3.37</v>
      </c>
      <c r="D27" s="1" t="s">
        <v>37</v>
      </c>
      <c r="E27" s="1" t="s">
        <v>29</v>
      </c>
      <c r="F27">
        <v>2</v>
      </c>
      <c r="G27" s="1" t="b">
        <v>0</v>
      </c>
      <c r="H27" s="1">
        <v>1</v>
      </c>
    </row>
    <row r="28" spans="1:8">
      <c r="A28" s="1">
        <v>27</v>
      </c>
      <c r="B28" s="1">
        <v>45.83</v>
      </c>
      <c r="C28" s="1">
        <v>1.26</v>
      </c>
      <c r="D28" s="1" t="s">
        <v>38</v>
      </c>
      <c r="E28" s="1" t="s">
        <v>29</v>
      </c>
      <c r="F28">
        <v>2</v>
      </c>
      <c r="G28" s="1" t="b">
        <v>0</v>
      </c>
      <c r="H28" s="1">
        <v>1</v>
      </c>
    </row>
    <row r="29" spans="1:8">
      <c r="A29" s="1">
        <v>28</v>
      </c>
      <c r="B29" s="1">
        <v>46.58</v>
      </c>
      <c r="C29" s="1">
        <v>-0.34</v>
      </c>
      <c r="D29" s="1" t="s">
        <v>39</v>
      </c>
      <c r="E29" s="1" t="s">
        <v>29</v>
      </c>
      <c r="F29">
        <v>2</v>
      </c>
      <c r="G29" s="1" t="b">
        <v>0</v>
      </c>
      <c r="H29" s="1">
        <v>1</v>
      </c>
    </row>
    <row r="30" spans="1:8">
      <c r="A30" s="1">
        <v>29</v>
      </c>
      <c r="B30" s="1">
        <v>43.49</v>
      </c>
      <c r="C30" s="1">
        <v>-1.47</v>
      </c>
      <c r="D30" s="1" t="s">
        <v>40</v>
      </c>
      <c r="E30" s="1" t="s">
        <v>29</v>
      </c>
      <c r="F30">
        <v>2</v>
      </c>
      <c r="G30" s="1" t="b">
        <v>0</v>
      </c>
      <c r="H30" s="1">
        <v>1</v>
      </c>
    </row>
    <row r="31" spans="1:8">
      <c r="A31" s="1">
        <v>30</v>
      </c>
      <c r="B31" s="1">
        <v>44.2</v>
      </c>
      <c r="C31" s="1">
        <v>0.62</v>
      </c>
      <c r="D31" s="1" t="s">
        <v>41</v>
      </c>
      <c r="E31" s="1" t="s">
        <v>29</v>
      </c>
      <c r="F31">
        <v>2</v>
      </c>
      <c r="G31" s="1" t="b">
        <v>0</v>
      </c>
      <c r="H31" s="1">
        <v>1</v>
      </c>
    </row>
    <row r="32" spans="1:8">
      <c r="A32" s="1">
        <v>31</v>
      </c>
      <c r="B32" s="1">
        <v>45.19</v>
      </c>
      <c r="C32" s="1">
        <v>5.72</v>
      </c>
      <c r="D32" s="1" t="s">
        <v>42</v>
      </c>
      <c r="E32" s="1" t="s">
        <v>29</v>
      </c>
      <c r="F32">
        <v>2</v>
      </c>
      <c r="G32" s="1" t="b">
        <v>0</v>
      </c>
      <c r="H32" s="1">
        <v>1</v>
      </c>
    </row>
    <row r="33" spans="1:8">
      <c r="A33" s="1">
        <v>32</v>
      </c>
      <c r="B33" s="1">
        <v>47.39</v>
      </c>
      <c r="C33" s="1">
        <v>0.69</v>
      </c>
      <c r="D33" s="1" t="s">
        <v>43</v>
      </c>
      <c r="E33" s="1" t="s">
        <v>29</v>
      </c>
      <c r="F33">
        <v>2</v>
      </c>
      <c r="G33" s="1" t="b">
        <v>0</v>
      </c>
      <c r="H33" s="1">
        <v>1</v>
      </c>
    </row>
    <row r="34" spans="1:8">
      <c r="A34" s="1">
        <v>33</v>
      </c>
      <c r="B34" s="14">
        <v>44.85</v>
      </c>
      <c r="C34" s="14">
        <v>-0.57</v>
      </c>
      <c r="D34" s="14" t="s">
        <v>44</v>
      </c>
      <c r="E34" s="14" t="s">
        <v>29</v>
      </c>
      <c r="F34">
        <v>2</v>
      </c>
      <c r="G34" s="16" t="s">
        <v>12</v>
      </c>
      <c r="H34" s="1">
        <v>1</v>
      </c>
    </row>
    <row r="35" spans="1:8">
      <c r="A35" s="1">
        <v>34</v>
      </c>
      <c r="B35" s="14">
        <v>45.73</v>
      </c>
      <c r="C35" s="14">
        <v>4.83</v>
      </c>
      <c r="D35" s="14" t="s">
        <v>45</v>
      </c>
      <c r="E35" s="14" t="s">
        <v>29</v>
      </c>
      <c r="F35">
        <v>2</v>
      </c>
      <c r="G35" s="16" t="s">
        <v>12</v>
      </c>
      <c r="H35" s="1">
        <v>1</v>
      </c>
    </row>
    <row r="36" spans="1:8">
      <c r="A36" s="1">
        <v>35</v>
      </c>
      <c r="B36" s="14">
        <v>43.3</v>
      </c>
      <c r="C36" s="14">
        <v>5.37</v>
      </c>
      <c r="D36" s="14" t="s">
        <v>46</v>
      </c>
      <c r="E36" s="14" t="s">
        <v>29</v>
      </c>
      <c r="F36">
        <v>2</v>
      </c>
      <c r="G36" s="16" t="s">
        <v>12</v>
      </c>
      <c r="H36" s="1">
        <v>1</v>
      </c>
    </row>
    <row r="37" spans="1:8">
      <c r="A37" s="1">
        <v>36</v>
      </c>
      <c r="B37" s="1">
        <v>45.47</v>
      </c>
      <c r="C37" s="1">
        <v>9.17</v>
      </c>
      <c r="D37" s="1" t="s">
        <v>47</v>
      </c>
      <c r="E37" s="1" t="s">
        <v>48</v>
      </c>
      <c r="F37" s="1">
        <v>3</v>
      </c>
      <c r="G37" s="16" t="s">
        <v>12</v>
      </c>
      <c r="H37" s="1">
        <v>1</v>
      </c>
    </row>
    <row r="38" spans="1:8">
      <c r="A38" s="1">
        <v>37</v>
      </c>
      <c r="B38" s="1">
        <v>45.079167</v>
      </c>
      <c r="C38" s="1">
        <v>7.676111</v>
      </c>
      <c r="D38" s="1" t="s">
        <v>49</v>
      </c>
      <c r="E38" s="1" t="s">
        <v>48</v>
      </c>
      <c r="F38" s="1">
        <v>3</v>
      </c>
      <c r="G38" s="16" t="s">
        <v>10</v>
      </c>
      <c r="H38" s="1">
        <v>1</v>
      </c>
    </row>
    <row r="39" spans="1:8">
      <c r="A39" s="1">
        <v>38</v>
      </c>
      <c r="B39" s="1">
        <v>44.407186</v>
      </c>
      <c r="C39" s="1">
        <v>8.933983</v>
      </c>
      <c r="D39" s="1" t="s">
        <v>50</v>
      </c>
      <c r="E39" s="1" t="s">
        <v>48</v>
      </c>
      <c r="F39" s="1">
        <v>3</v>
      </c>
      <c r="G39" s="16" t="s">
        <v>10</v>
      </c>
      <c r="H39" s="1">
        <v>1</v>
      </c>
    </row>
    <row r="40" spans="1:8">
      <c r="A40" s="1">
        <v>39</v>
      </c>
      <c r="B40" s="1">
        <v>44.493889</v>
      </c>
      <c r="C40" s="1">
        <v>11.342778</v>
      </c>
      <c r="D40" s="1" t="s">
        <v>51</v>
      </c>
      <c r="E40" s="1" t="s">
        <v>48</v>
      </c>
      <c r="F40" s="1">
        <v>3</v>
      </c>
      <c r="G40" s="16" t="s">
        <v>10</v>
      </c>
      <c r="H40" s="1">
        <v>1</v>
      </c>
    </row>
    <row r="41" spans="1:8">
      <c r="A41" s="1">
        <v>40</v>
      </c>
      <c r="B41" s="1">
        <v>43.771389</v>
      </c>
      <c r="C41" s="1">
        <v>11.254167</v>
      </c>
      <c r="D41" s="1" t="s">
        <v>52</v>
      </c>
      <c r="E41" s="1" t="s">
        <v>48</v>
      </c>
      <c r="F41" s="1">
        <v>3</v>
      </c>
      <c r="G41" s="16" t="s">
        <v>10</v>
      </c>
      <c r="H41" s="1">
        <v>1</v>
      </c>
    </row>
    <row r="42" spans="1:8">
      <c r="A42" s="1">
        <v>41</v>
      </c>
      <c r="B42" s="1">
        <v>41.88</v>
      </c>
      <c r="C42" s="1">
        <v>12.5</v>
      </c>
      <c r="D42" s="1" t="s">
        <v>53</v>
      </c>
      <c r="E42" s="1" t="s">
        <v>48</v>
      </c>
      <c r="F42" s="1">
        <v>3</v>
      </c>
      <c r="G42" s="16" t="s">
        <v>12</v>
      </c>
      <c r="H42" s="1">
        <v>1</v>
      </c>
    </row>
    <row r="43" spans="1:8">
      <c r="A43" s="1">
        <v>42</v>
      </c>
      <c r="B43" s="1">
        <v>40.833333</v>
      </c>
      <c r="C43" s="1">
        <v>14.25</v>
      </c>
      <c r="D43" s="1" t="s">
        <v>54</v>
      </c>
      <c r="E43" s="1" t="s">
        <v>48</v>
      </c>
      <c r="F43" s="1">
        <v>3</v>
      </c>
      <c r="G43" s="16" t="s">
        <v>10</v>
      </c>
      <c r="H43" s="1">
        <v>1</v>
      </c>
    </row>
    <row r="44" spans="1:8">
      <c r="A44" s="1">
        <v>43</v>
      </c>
      <c r="B44" s="1">
        <v>38.12</v>
      </c>
      <c r="C44" s="1">
        <v>13.35</v>
      </c>
      <c r="D44" s="1" t="s">
        <v>55</v>
      </c>
      <c r="E44" s="1" t="s">
        <v>48</v>
      </c>
      <c r="F44" s="1">
        <v>3</v>
      </c>
      <c r="G44" s="16" t="s">
        <v>10</v>
      </c>
      <c r="H44" s="1">
        <v>1</v>
      </c>
    </row>
    <row r="45" spans="1:8">
      <c r="A45" s="1">
        <v>44</v>
      </c>
      <c r="B45" s="1">
        <v>52.367</v>
      </c>
      <c r="C45" s="1">
        <v>4.904</v>
      </c>
      <c r="D45" s="1" t="s">
        <v>56</v>
      </c>
      <c r="E45" s="1" t="s">
        <v>57</v>
      </c>
      <c r="F45" s="1">
        <v>4</v>
      </c>
      <c r="G45" t="b">
        <v>1</v>
      </c>
      <c r="H45" s="1">
        <v>1</v>
      </c>
    </row>
    <row r="46" spans="1:8">
      <c r="A46" s="1">
        <v>45</v>
      </c>
      <c r="B46" s="1">
        <v>52.012</v>
      </c>
      <c r="C46" s="1">
        <v>4.357</v>
      </c>
      <c r="D46" s="1" t="s">
        <v>58</v>
      </c>
      <c r="E46" s="1" t="s">
        <v>57</v>
      </c>
      <c r="F46" s="1">
        <v>4</v>
      </c>
      <c r="G46" s="16" t="s">
        <v>10</v>
      </c>
      <c r="H46" s="1">
        <v>1</v>
      </c>
    </row>
    <row r="47" spans="1:8">
      <c r="A47" s="1">
        <v>46</v>
      </c>
      <c r="B47" s="1">
        <v>52.018</v>
      </c>
      <c r="C47" s="1">
        <v>4.708</v>
      </c>
      <c r="D47" s="1" t="s">
        <v>59</v>
      </c>
      <c r="E47" s="1" t="s">
        <v>57</v>
      </c>
      <c r="F47" s="1">
        <v>4</v>
      </c>
      <c r="G47" s="16" t="s">
        <v>10</v>
      </c>
      <c r="H47" s="1">
        <v>1</v>
      </c>
    </row>
    <row r="48" spans="1:8">
      <c r="A48" s="1">
        <v>47</v>
      </c>
      <c r="B48" s="1">
        <v>52.16</v>
      </c>
      <c r="C48" s="1">
        <v>4.494</v>
      </c>
      <c r="D48" s="1" t="s">
        <v>60</v>
      </c>
      <c r="E48" s="1" t="s">
        <v>57</v>
      </c>
      <c r="F48" s="1">
        <v>4</v>
      </c>
      <c r="G48" s="16" t="s">
        <v>10</v>
      </c>
      <c r="H48" s="1">
        <v>1</v>
      </c>
    </row>
    <row r="49" spans="1:8">
      <c r="A49" s="1">
        <v>48</v>
      </c>
      <c r="B49" s="1">
        <v>51.925</v>
      </c>
      <c r="C49" s="1">
        <v>4.479</v>
      </c>
      <c r="D49" s="1" t="s">
        <v>61</v>
      </c>
      <c r="E49" s="1" t="s">
        <v>57</v>
      </c>
      <c r="F49" s="1">
        <v>4</v>
      </c>
      <c r="G49" s="16" t="s">
        <v>10</v>
      </c>
      <c r="H49" s="1">
        <v>1</v>
      </c>
    </row>
    <row r="50" spans="1:8">
      <c r="A50" s="1">
        <v>49</v>
      </c>
      <c r="B50" s="1">
        <v>52.091</v>
      </c>
      <c r="C50" s="1">
        <v>5.122</v>
      </c>
      <c r="D50" s="1" t="s">
        <v>62</v>
      </c>
      <c r="E50" s="1" t="s">
        <v>57</v>
      </c>
      <c r="F50" s="1">
        <v>4</v>
      </c>
      <c r="G50" s="16" t="s">
        <v>10</v>
      </c>
      <c r="H50" s="1">
        <v>1</v>
      </c>
    </row>
    <row r="51" spans="1:8">
      <c r="A51" s="1">
        <v>50</v>
      </c>
      <c r="B51" s="14">
        <v>42.82</v>
      </c>
      <c r="C51" s="14">
        <v>-1.64</v>
      </c>
      <c r="D51" s="14" t="s">
        <v>63</v>
      </c>
      <c r="E51" s="14" t="s">
        <v>64</v>
      </c>
      <c r="F51">
        <v>5</v>
      </c>
      <c r="G51" s="16" t="s">
        <v>10</v>
      </c>
      <c r="H51" s="1">
        <v>1</v>
      </c>
    </row>
    <row r="52" spans="1:8">
      <c r="A52" s="1">
        <v>51</v>
      </c>
      <c r="B52" s="14">
        <v>42.47</v>
      </c>
      <c r="C52" s="14">
        <v>-2.45</v>
      </c>
      <c r="D52" s="14" t="s">
        <v>65</v>
      </c>
      <c r="E52" s="14" t="s">
        <v>64</v>
      </c>
      <c r="F52">
        <v>5</v>
      </c>
      <c r="G52" s="16" t="s">
        <v>10</v>
      </c>
      <c r="H52" s="1">
        <v>1</v>
      </c>
    </row>
    <row r="53" spans="1:8">
      <c r="A53" s="1">
        <v>52</v>
      </c>
      <c r="B53" s="14">
        <v>43</v>
      </c>
      <c r="C53" s="14">
        <v>-2.75</v>
      </c>
      <c r="D53" s="14" t="s">
        <v>66</v>
      </c>
      <c r="E53" s="14" t="s">
        <v>64</v>
      </c>
      <c r="F53">
        <v>5</v>
      </c>
      <c r="G53" s="16" t="s">
        <v>10</v>
      </c>
      <c r="H53" s="1">
        <v>1</v>
      </c>
    </row>
    <row r="54" spans="1:8">
      <c r="A54" s="1">
        <v>53</v>
      </c>
      <c r="B54" s="14">
        <v>39.47</v>
      </c>
      <c r="C54" s="14">
        <v>-0.38</v>
      </c>
      <c r="D54" s="14" t="s">
        <v>67</v>
      </c>
      <c r="E54" s="14" t="s">
        <v>64</v>
      </c>
      <c r="F54">
        <v>5</v>
      </c>
      <c r="G54" s="16" t="s">
        <v>10</v>
      </c>
      <c r="H54" s="1">
        <v>1</v>
      </c>
    </row>
    <row r="55" spans="1:8">
      <c r="A55" s="1">
        <v>54</v>
      </c>
      <c r="B55" s="14">
        <v>41.66</v>
      </c>
      <c r="C55" s="14">
        <v>-0.88</v>
      </c>
      <c r="D55" s="14" t="s">
        <v>68</v>
      </c>
      <c r="E55" s="14" t="s">
        <v>64</v>
      </c>
      <c r="F55">
        <v>5</v>
      </c>
      <c r="G55" s="16" t="s">
        <v>10</v>
      </c>
      <c r="H55" s="1">
        <v>1</v>
      </c>
    </row>
    <row r="56" spans="1:8">
      <c r="A56" s="1">
        <v>55</v>
      </c>
      <c r="B56" s="14">
        <v>41.39</v>
      </c>
      <c r="C56" s="14">
        <v>2.16</v>
      </c>
      <c r="D56" s="14" t="s">
        <v>69</v>
      </c>
      <c r="E56" s="14" t="s">
        <v>64</v>
      </c>
      <c r="F56">
        <v>5</v>
      </c>
      <c r="G56" t="b">
        <v>1</v>
      </c>
      <c r="H56" s="1">
        <v>1</v>
      </c>
    </row>
    <row r="57" spans="1:8">
      <c r="A57" s="1">
        <v>56</v>
      </c>
      <c r="B57" s="14">
        <v>42.88</v>
      </c>
      <c r="C57" s="14">
        <v>-8.55</v>
      </c>
      <c r="D57" s="14" t="s">
        <v>70</v>
      </c>
      <c r="E57" s="14" t="s">
        <v>64</v>
      </c>
      <c r="F57">
        <v>5</v>
      </c>
      <c r="G57" s="16" t="s">
        <v>10</v>
      </c>
      <c r="H57" s="1">
        <v>1</v>
      </c>
    </row>
    <row r="58" spans="1:8">
      <c r="A58" s="1">
        <v>57</v>
      </c>
      <c r="B58" s="14">
        <v>37.38</v>
      </c>
      <c r="C58" s="14">
        <v>-5.99</v>
      </c>
      <c r="D58" s="14" t="s">
        <v>71</v>
      </c>
      <c r="E58" s="14" t="s">
        <v>64</v>
      </c>
      <c r="F58">
        <v>5</v>
      </c>
      <c r="G58" t="b">
        <v>1</v>
      </c>
      <c r="H58" s="1">
        <v>1</v>
      </c>
    </row>
    <row r="59" spans="1:8">
      <c r="A59" s="1">
        <v>58</v>
      </c>
      <c r="B59" s="14">
        <v>40.42</v>
      </c>
      <c r="C59" s="14">
        <v>-3.7</v>
      </c>
      <c r="D59" s="14" t="s">
        <v>72</v>
      </c>
      <c r="E59" s="14" t="s">
        <v>64</v>
      </c>
      <c r="F59">
        <v>5</v>
      </c>
      <c r="G59" t="b">
        <v>1</v>
      </c>
      <c r="H59" s="1">
        <v>1</v>
      </c>
    </row>
    <row r="60" spans="1:8">
      <c r="A60" s="1">
        <v>59</v>
      </c>
      <c r="B60" s="14">
        <v>41.65</v>
      </c>
      <c r="C60" s="14">
        <v>-4.72</v>
      </c>
      <c r="D60" s="14" t="s">
        <v>73</v>
      </c>
      <c r="E60" s="14" t="s">
        <v>64</v>
      </c>
      <c r="F60" s="17">
        <v>5</v>
      </c>
      <c r="G60" s="16" t="s">
        <v>10</v>
      </c>
      <c r="H60" s="1">
        <v>1</v>
      </c>
    </row>
    <row r="61" spans="1:8">
      <c r="A61" s="1">
        <v>60</v>
      </c>
      <c r="B61" s="1">
        <v>46.52</v>
      </c>
      <c r="C61" s="1">
        <v>6.634</v>
      </c>
      <c r="D61" s="1" t="s">
        <v>74</v>
      </c>
      <c r="E61" s="1" t="s">
        <v>75</v>
      </c>
      <c r="F61" s="1">
        <v>6</v>
      </c>
      <c r="G61" s="16" t="s">
        <v>10</v>
      </c>
      <c r="H61" s="1">
        <v>1</v>
      </c>
    </row>
    <row r="62" spans="1:8">
      <c r="A62" s="1">
        <v>61</v>
      </c>
      <c r="B62" s="1">
        <v>46.948</v>
      </c>
      <c r="C62" s="1">
        <v>7.448</v>
      </c>
      <c r="D62" s="1" t="s">
        <v>76</v>
      </c>
      <c r="E62" s="1" t="s">
        <v>75</v>
      </c>
      <c r="F62" s="1">
        <v>6</v>
      </c>
      <c r="G62" s="16" t="s">
        <v>10</v>
      </c>
      <c r="H62" s="1">
        <v>1</v>
      </c>
    </row>
    <row r="63" spans="1:8">
      <c r="A63" s="1">
        <v>62</v>
      </c>
      <c r="B63" s="1">
        <v>47.377</v>
      </c>
      <c r="C63" s="1">
        <v>8.541</v>
      </c>
      <c r="D63" s="1" t="s">
        <v>77</v>
      </c>
      <c r="E63" s="1" t="s">
        <v>75</v>
      </c>
      <c r="F63" s="1">
        <v>6</v>
      </c>
      <c r="G63" t="b">
        <v>1</v>
      </c>
      <c r="H63" s="1">
        <v>1</v>
      </c>
    </row>
    <row r="64" spans="1:8">
      <c r="A64" s="1">
        <v>63</v>
      </c>
      <c r="B64" s="1">
        <v>46.028</v>
      </c>
      <c r="C64" s="1">
        <v>8.923</v>
      </c>
      <c r="D64" s="1" t="s">
        <v>78</v>
      </c>
      <c r="E64" s="1" t="s">
        <v>75</v>
      </c>
      <c r="F64" s="1">
        <v>6</v>
      </c>
      <c r="G64" s="16" t="s">
        <v>10</v>
      </c>
      <c r="H64" s="1">
        <v>1</v>
      </c>
    </row>
    <row r="65" spans="1:8">
      <c r="A65" s="1">
        <v>64</v>
      </c>
      <c r="B65" s="1">
        <v>46.99</v>
      </c>
      <c r="C65" s="1">
        <v>6.929</v>
      </c>
      <c r="D65" s="1" t="s">
        <v>79</v>
      </c>
      <c r="E65" s="1" t="s">
        <v>75</v>
      </c>
      <c r="F65" s="1">
        <v>6</v>
      </c>
      <c r="G65" s="16" t="s">
        <v>10</v>
      </c>
      <c r="H65" s="1">
        <v>1</v>
      </c>
    </row>
    <row r="66" spans="1:8">
      <c r="A66" s="1">
        <v>65</v>
      </c>
      <c r="B66" s="1">
        <v>46.205</v>
      </c>
      <c r="C66" s="1">
        <v>6.142</v>
      </c>
      <c r="D66" s="1" t="s">
        <v>80</v>
      </c>
      <c r="E66" s="1" t="s">
        <v>75</v>
      </c>
      <c r="F66" s="1">
        <v>6</v>
      </c>
      <c r="G66" s="16" t="s">
        <v>10</v>
      </c>
      <c r="H66" s="1">
        <v>1</v>
      </c>
    </row>
    <row r="67" spans="1:8">
      <c r="A67" s="1">
        <v>66</v>
      </c>
      <c r="B67" s="1">
        <v>47.56</v>
      </c>
      <c r="C67" s="1">
        <v>7.589</v>
      </c>
      <c r="D67" s="1" t="s">
        <v>81</v>
      </c>
      <c r="E67" s="1" t="s">
        <v>75</v>
      </c>
      <c r="F67" s="1">
        <v>6</v>
      </c>
      <c r="G67" s="16" t="s">
        <v>10</v>
      </c>
      <c r="H67" s="1">
        <v>1</v>
      </c>
    </row>
    <row r="68" spans="1:8">
      <c r="A68" s="1">
        <v>67</v>
      </c>
      <c r="B68" s="1">
        <v>50.83</v>
      </c>
      <c r="C68" s="1">
        <v>4.35</v>
      </c>
      <c r="D68" s="1" t="s">
        <v>82</v>
      </c>
      <c r="E68" s="1" t="s">
        <v>83</v>
      </c>
      <c r="F68" s="17">
        <v>7</v>
      </c>
      <c r="G68" s="16" t="s">
        <v>12</v>
      </c>
      <c r="H68">
        <v>1</v>
      </c>
    </row>
    <row r="69" spans="1:8">
      <c r="A69" s="1">
        <v>68</v>
      </c>
      <c r="B69" s="1">
        <v>51.22</v>
      </c>
      <c r="C69" s="1">
        <v>4.4</v>
      </c>
      <c r="D69" s="1" t="s">
        <v>84</v>
      </c>
      <c r="E69" s="1" t="s">
        <v>83</v>
      </c>
      <c r="F69">
        <v>7</v>
      </c>
      <c r="G69" s="16" t="s">
        <v>10</v>
      </c>
      <c r="H69">
        <v>1</v>
      </c>
    </row>
    <row r="70" spans="1:8">
      <c r="A70" s="1">
        <v>69</v>
      </c>
      <c r="B70" s="1">
        <v>51.054</v>
      </c>
      <c r="C70" s="1">
        <v>3.717</v>
      </c>
      <c r="D70" s="1" t="s">
        <v>85</v>
      </c>
      <c r="E70" s="1" t="s">
        <v>83</v>
      </c>
      <c r="F70" s="17">
        <v>7</v>
      </c>
      <c r="G70" s="16" t="s">
        <v>10</v>
      </c>
      <c r="H70">
        <v>1</v>
      </c>
    </row>
    <row r="71" spans="1:8">
      <c r="A71" s="1">
        <v>70</v>
      </c>
      <c r="B71" s="1">
        <v>50.633</v>
      </c>
      <c r="C71" s="1">
        <v>5.567</v>
      </c>
      <c r="D71" s="1" t="s">
        <v>86</v>
      </c>
      <c r="E71" s="1" t="s">
        <v>83</v>
      </c>
      <c r="F71">
        <v>7</v>
      </c>
      <c r="G71" s="16" t="s">
        <v>10</v>
      </c>
      <c r="H71">
        <v>1</v>
      </c>
    </row>
    <row r="72" spans="1:8">
      <c r="A72" s="1">
        <v>71</v>
      </c>
      <c r="B72" s="1">
        <v>50.45</v>
      </c>
      <c r="C72" s="1">
        <v>3.95</v>
      </c>
      <c r="D72" s="1" t="s">
        <v>87</v>
      </c>
      <c r="E72" s="1" t="s">
        <v>83</v>
      </c>
      <c r="F72" s="17">
        <v>7</v>
      </c>
      <c r="G72" s="16" t="s">
        <v>10</v>
      </c>
      <c r="H72">
        <v>1</v>
      </c>
    </row>
    <row r="73" spans="1:8">
      <c r="A73" s="1">
        <v>72</v>
      </c>
      <c r="B73" s="14">
        <v>51.5074456</v>
      </c>
      <c r="C73" s="14">
        <v>-0.1277653</v>
      </c>
      <c r="D73" s="14" t="s">
        <v>88</v>
      </c>
      <c r="E73" s="14" t="s">
        <v>89</v>
      </c>
      <c r="F73">
        <v>8</v>
      </c>
      <c r="G73" s="16" t="s">
        <v>12</v>
      </c>
      <c r="H73">
        <v>1</v>
      </c>
    </row>
    <row r="74" spans="1:8">
      <c r="A74" s="1">
        <v>73</v>
      </c>
      <c r="B74" s="14">
        <v>52.4796992</v>
      </c>
      <c r="C74" s="14">
        <v>-1.9026911</v>
      </c>
      <c r="D74" s="14" t="s">
        <v>90</v>
      </c>
      <c r="E74" s="14" t="s">
        <v>89</v>
      </c>
      <c r="F74">
        <v>8</v>
      </c>
      <c r="G74" s="16" t="s">
        <v>10</v>
      </c>
      <c r="H74">
        <v>1</v>
      </c>
    </row>
    <row r="75" spans="1:8">
      <c r="A75" s="1">
        <v>74</v>
      </c>
      <c r="B75" s="14">
        <v>55.9533456</v>
      </c>
      <c r="C75" s="14">
        <v>-3.1883749</v>
      </c>
      <c r="D75" s="14" t="s">
        <v>91</v>
      </c>
      <c r="E75" s="14" t="s">
        <v>89</v>
      </c>
      <c r="F75">
        <v>8</v>
      </c>
      <c r="G75" s="16" t="s">
        <v>10</v>
      </c>
      <c r="H75">
        <v>1</v>
      </c>
    </row>
    <row r="76" spans="1:8">
      <c r="A76" s="1">
        <v>75</v>
      </c>
      <c r="B76" s="14">
        <v>53.4794892</v>
      </c>
      <c r="C76" s="14">
        <v>-2.2451148</v>
      </c>
      <c r="D76" s="14" t="s">
        <v>92</v>
      </c>
      <c r="E76" s="14" t="s">
        <v>89</v>
      </c>
      <c r="F76">
        <v>8</v>
      </c>
      <c r="G76" s="16" t="s">
        <v>10</v>
      </c>
      <c r="H76">
        <v>1</v>
      </c>
    </row>
    <row r="77" spans="1:8">
      <c r="A77" s="1">
        <v>76</v>
      </c>
      <c r="B77" s="14">
        <v>51.4564242</v>
      </c>
      <c r="C77" s="14">
        <v>-0.9700664</v>
      </c>
      <c r="D77" s="14" t="s">
        <v>93</v>
      </c>
      <c r="E77" s="14" t="s">
        <v>89</v>
      </c>
      <c r="F77">
        <v>8</v>
      </c>
      <c r="G77" s="16" t="s">
        <v>10</v>
      </c>
      <c r="H77">
        <v>1</v>
      </c>
    </row>
    <row r="78" spans="1:8">
      <c r="A78" s="1">
        <v>77</v>
      </c>
      <c r="B78" s="15">
        <v>52.0417</v>
      </c>
      <c r="C78">
        <v>-0.7558</v>
      </c>
      <c r="D78" t="s">
        <v>94</v>
      </c>
      <c r="E78" s="14" t="s">
        <v>89</v>
      </c>
      <c r="F78">
        <v>8</v>
      </c>
      <c r="G78" s="16" t="s">
        <v>10</v>
      </c>
      <c r="H78">
        <v>1</v>
      </c>
    </row>
    <row r="79" spans="1:8">
      <c r="A79" s="1">
        <v>78</v>
      </c>
      <c r="B79">
        <v>51.5566</v>
      </c>
      <c r="C79">
        <v>0.0763</v>
      </c>
      <c r="D79" t="s">
        <v>95</v>
      </c>
      <c r="E79" s="14" t="s">
        <v>89</v>
      </c>
      <c r="F79">
        <v>8</v>
      </c>
      <c r="G79" s="16" t="s">
        <v>10</v>
      </c>
      <c r="H79">
        <v>1</v>
      </c>
    </row>
    <row r="80" spans="1:8">
      <c r="A80" s="1">
        <v>79</v>
      </c>
      <c r="B80" s="15">
        <v>51.5138</v>
      </c>
      <c r="C80" s="15">
        <v>-0.3028</v>
      </c>
      <c r="D80" s="15" t="s">
        <v>96</v>
      </c>
      <c r="E80" s="14" t="s">
        <v>89</v>
      </c>
      <c r="F80">
        <v>8</v>
      </c>
      <c r="G80" s="16" t="s">
        <v>10</v>
      </c>
      <c r="H80">
        <v>1</v>
      </c>
    </row>
    <row r="81" spans="1:8">
      <c r="A81" s="1">
        <v>80</v>
      </c>
      <c r="B81">
        <v>55.8642</v>
      </c>
      <c r="C81" s="15">
        <v>-4.2518</v>
      </c>
      <c r="D81" t="s">
        <v>97</v>
      </c>
      <c r="E81" s="14" t="s">
        <v>89</v>
      </c>
      <c r="F81">
        <v>8</v>
      </c>
      <c r="G81" s="16" t="s">
        <v>12</v>
      </c>
      <c r="H81">
        <v>1</v>
      </c>
    </row>
    <row r="82" spans="1:8">
      <c r="A82" s="1">
        <v>81</v>
      </c>
      <c r="B82" s="14">
        <v>40.640496</v>
      </c>
      <c r="C82" s="14">
        <v>-8.6537841</v>
      </c>
      <c r="D82" s="14" t="s">
        <v>98</v>
      </c>
      <c r="E82" s="14" t="s">
        <v>99</v>
      </c>
      <c r="F82">
        <v>9</v>
      </c>
      <c r="G82" s="16" t="s">
        <v>10</v>
      </c>
      <c r="H82">
        <v>1</v>
      </c>
    </row>
    <row r="83" spans="1:8">
      <c r="A83" s="1">
        <v>82</v>
      </c>
      <c r="B83" s="14">
        <v>39.4071857</v>
      </c>
      <c r="C83" s="14">
        <v>-9.1346004</v>
      </c>
      <c r="D83" s="14" t="s">
        <v>100</v>
      </c>
      <c r="E83" s="14" t="s">
        <v>99</v>
      </c>
      <c r="F83">
        <v>9</v>
      </c>
      <c r="G83" s="16" t="s">
        <v>10</v>
      </c>
      <c r="H83">
        <v>1</v>
      </c>
    </row>
    <row r="84" spans="1:8">
      <c r="A84" s="1">
        <v>83</v>
      </c>
      <c r="B84" s="14">
        <v>40.2111931</v>
      </c>
      <c r="C84" s="14">
        <v>-8.4294632</v>
      </c>
      <c r="D84" s="14" t="s">
        <v>101</v>
      </c>
      <c r="E84" s="14" t="s">
        <v>99</v>
      </c>
      <c r="F84">
        <v>9</v>
      </c>
      <c r="G84" s="16" t="s">
        <v>10</v>
      </c>
      <c r="H84">
        <v>1</v>
      </c>
    </row>
    <row r="85" spans="1:8">
      <c r="A85" s="1">
        <v>84</v>
      </c>
      <c r="B85" s="14">
        <v>39.7437902</v>
      </c>
      <c r="C85" s="14">
        <v>-8.8071119</v>
      </c>
      <c r="D85" s="14" t="s">
        <v>102</v>
      </c>
      <c r="E85" s="14" t="s">
        <v>99</v>
      </c>
      <c r="F85">
        <v>9</v>
      </c>
      <c r="G85" s="16" t="s">
        <v>10</v>
      </c>
      <c r="H85">
        <v>1</v>
      </c>
    </row>
    <row r="86" spans="1:8">
      <c r="A86" s="1">
        <v>85</v>
      </c>
      <c r="B86" s="14">
        <v>38.7077507</v>
      </c>
      <c r="C86" s="14">
        <v>-9.1365919</v>
      </c>
      <c r="D86" s="14" t="s">
        <v>103</v>
      </c>
      <c r="E86" s="14" t="s">
        <v>99</v>
      </c>
      <c r="F86">
        <v>9</v>
      </c>
      <c r="G86" s="16" t="s">
        <v>12</v>
      </c>
      <c r="H86">
        <v>1</v>
      </c>
    </row>
    <row r="87" spans="1:8">
      <c r="A87" s="1">
        <v>86</v>
      </c>
      <c r="B87" s="14">
        <v>41.1494512</v>
      </c>
      <c r="C87" s="14">
        <v>-8.6107884</v>
      </c>
      <c r="D87" s="14" t="s">
        <v>104</v>
      </c>
      <c r="E87" s="14" t="s">
        <v>99</v>
      </c>
      <c r="F87">
        <v>9</v>
      </c>
      <c r="G87" s="16" t="s">
        <v>10</v>
      </c>
      <c r="H87">
        <v>1</v>
      </c>
    </row>
    <row r="88" spans="1:8">
      <c r="A88" s="1">
        <v>87</v>
      </c>
      <c r="B88" s="14">
        <v>39.2363637</v>
      </c>
      <c r="C88" s="14">
        <v>-8.6867081</v>
      </c>
      <c r="D88" s="14" t="s">
        <v>105</v>
      </c>
      <c r="E88" s="14" t="s">
        <v>99</v>
      </c>
      <c r="F88">
        <v>9</v>
      </c>
      <c r="G88" s="16" t="s">
        <v>10</v>
      </c>
      <c r="H88">
        <v>1</v>
      </c>
    </row>
    <row r="89" spans="1:8">
      <c r="A89" s="1">
        <v>88</v>
      </c>
      <c r="B89" s="14">
        <v>40.9020813</v>
      </c>
      <c r="C89" s="14">
        <v>-8.4896358</v>
      </c>
      <c r="D89" s="14" t="s">
        <v>106</v>
      </c>
      <c r="E89" s="14" t="s">
        <v>99</v>
      </c>
      <c r="F89">
        <v>9</v>
      </c>
      <c r="G89" s="16" t="s">
        <v>10</v>
      </c>
      <c r="H89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tabSelected="1" zoomScale="70" zoomScaleNormal="70" workbookViewId="0">
      <pane ySplit="1" topLeftCell="A2" activePane="bottomLeft" state="frozen"/>
      <selection/>
      <selection pane="bottomLeft" activeCell="F36" sqref="F36"/>
    </sheetView>
  </sheetViews>
  <sheetFormatPr defaultColWidth="9" defaultRowHeight="14.4"/>
  <cols>
    <col min="1" max="1" width="19" customWidth="1"/>
    <col min="2" max="2" width="16.8888888888889" customWidth="1"/>
    <col min="3" max="3" width="23.1111111111111" customWidth="1"/>
    <col min="4" max="4" width="16" customWidth="1"/>
    <col min="5" max="5" width="19.4444444444444" customWidth="1"/>
    <col min="6" max="6" width="23.1111111111111" customWidth="1"/>
    <col min="7" max="7" width="12.5555555555556" customWidth="1"/>
    <col min="8" max="8" width="13.8888888888889" customWidth="1"/>
    <col min="9" max="9" width="19.3611111111111" customWidth="1"/>
    <col min="10" max="10" width="32.1111111111111" customWidth="1"/>
    <col min="11" max="11" width="12.8888888888889"/>
  </cols>
  <sheetData>
    <row r="1" spans="1:11">
      <c r="A1" s="1" t="s">
        <v>107</v>
      </c>
      <c r="B1" s="1" t="s">
        <v>108</v>
      </c>
      <c r="C1" s="1" t="s">
        <v>3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11">
      <c r="A2">
        <v>1</v>
      </c>
      <c r="B2" s="2" cm="1">
        <f t="array" ref="B2">INDEX(Nodes!$A:$A,MATCH(C2,Nodes!$D:$D,0))</f>
        <v>2</v>
      </c>
      <c r="C2" s="2" t="s">
        <v>11</v>
      </c>
      <c r="D2" s="2" cm="1">
        <f t="array" ref="D2">INDEX(Nodes!$A:$A,MATCH(E2,Nodes!$D:$D,0))</f>
        <v>1</v>
      </c>
      <c r="E2" s="2" t="s">
        <v>8</v>
      </c>
      <c r="F2" s="2">
        <v>266.498918</v>
      </c>
      <c r="G2" s="3">
        <v>0.973700785400368</v>
      </c>
      <c r="H2" s="2" t="s">
        <v>114</v>
      </c>
      <c r="I2" t="str">
        <f>_xlfn.XLOOKUP(C2,Nodes!$D:$D,Nodes!$E:$E)</f>
        <v>Germany</v>
      </c>
      <c r="J2" t="str">
        <f>_xlfn.XLOOKUP(E2,Nodes!$D:$D,Nodes!$E:$E)</f>
        <v>Germany</v>
      </c>
      <c r="K2" s="4"/>
    </row>
    <row r="3" spans="1:11">
      <c r="A3">
        <v>2</v>
      </c>
      <c r="B3" s="2" cm="1">
        <f t="array" ref="B3">INDEX(Nodes!$A:$A,MATCH(C3,Nodes!$D:$D,0))</f>
        <v>3</v>
      </c>
      <c r="C3" s="2" t="s">
        <v>13</v>
      </c>
      <c r="D3" s="2" cm="1">
        <f t="array" ref="D3">INDEX(Nodes!$A:$A,MATCH(E3,Nodes!$D:$D,0))</f>
        <v>1</v>
      </c>
      <c r="E3" s="2" t="s">
        <v>8</v>
      </c>
      <c r="F3" s="2">
        <v>129.824549</v>
      </c>
      <c r="G3" s="3">
        <v>0.987100812869557</v>
      </c>
      <c r="H3" s="2" t="s">
        <v>114</v>
      </c>
      <c r="I3" t="str">
        <f>_xlfn.XLOOKUP(C3,Nodes!$D:$D,Nodes!$E:$E)</f>
        <v>Germany</v>
      </c>
      <c r="J3" t="str">
        <f>_xlfn.XLOOKUP(E3,Nodes!$D:$D,Nodes!$E:$E)</f>
        <v>Germany</v>
      </c>
      <c r="K3" s="4"/>
    </row>
    <row r="4" spans="1:11">
      <c r="A4">
        <v>3</v>
      </c>
      <c r="B4" s="2" cm="1">
        <f t="array" ref="B4">INDEX(Nodes!$A:$A,MATCH(C4,Nodes!$D:$D,0))</f>
        <v>5</v>
      </c>
      <c r="C4" s="2" t="s">
        <v>15</v>
      </c>
      <c r="D4" s="2" cm="1">
        <f t="array" ref="D4">INDEX(Nodes!$A:$A,MATCH(E4,Nodes!$D:$D,0))</f>
        <v>1</v>
      </c>
      <c r="E4" s="2" t="s">
        <v>8</v>
      </c>
      <c r="F4" s="2">
        <v>102.075478</v>
      </c>
      <c r="G4" s="3">
        <v>0.989843867178806</v>
      </c>
      <c r="H4" s="2" t="s">
        <v>114</v>
      </c>
      <c r="I4" t="str">
        <f>_xlfn.XLOOKUP(C4,Nodes!$D:$D,Nodes!$E:$E)</f>
        <v>Germany</v>
      </c>
      <c r="J4" t="str">
        <f>_xlfn.XLOOKUP(E4,Nodes!$D:$D,Nodes!$E:$E)</f>
        <v>Germany</v>
      </c>
      <c r="K4" s="4"/>
    </row>
    <row r="5" spans="1:11">
      <c r="A5">
        <v>4</v>
      </c>
      <c r="B5" s="2" cm="1">
        <f t="array" ref="B5">INDEX(Nodes!$A:$A,MATCH(C5,Nodes!$D:$D,0))</f>
        <v>6</v>
      </c>
      <c r="C5" s="2" t="s">
        <v>16</v>
      </c>
      <c r="D5" s="2" cm="1">
        <f t="array" ref="D5">INDEX(Nodes!$A:$A,MATCH(E5,Nodes!$D:$D,0))</f>
        <v>1</v>
      </c>
      <c r="E5" s="2" t="s">
        <v>8</v>
      </c>
      <c r="F5" s="2">
        <v>244.340032</v>
      </c>
      <c r="G5" s="3">
        <v>0.975860898278823</v>
      </c>
      <c r="H5" s="2" t="s">
        <v>114</v>
      </c>
      <c r="I5" t="str">
        <f>_xlfn.XLOOKUP(C5,Nodes!$D:$D,Nodes!$E:$E)</f>
        <v>Germany</v>
      </c>
      <c r="J5" t="str">
        <f>_xlfn.XLOOKUP(E5,Nodes!$D:$D,Nodes!$E:$E)</f>
        <v>Germany</v>
      </c>
      <c r="K5" s="4"/>
    </row>
    <row r="6" spans="1:11">
      <c r="A6">
        <v>5</v>
      </c>
      <c r="B6" s="2" cm="1">
        <f t="array" ref="B6">INDEX(Nodes!$A:$A,MATCH(C6,Nodes!$D:$D,0))</f>
        <v>14</v>
      </c>
      <c r="C6" s="2" t="s">
        <v>24</v>
      </c>
      <c r="D6" s="2" cm="1">
        <f t="array" ref="D6">INDEX(Nodes!$A:$A,MATCH(E6,Nodes!$D:$D,0))</f>
        <v>1</v>
      </c>
      <c r="E6" s="2" t="s">
        <v>8</v>
      </c>
      <c r="F6" s="2">
        <v>186.684593</v>
      </c>
      <c r="G6" s="3">
        <v>0.981503800846897</v>
      </c>
      <c r="H6" s="2" t="s">
        <v>114</v>
      </c>
      <c r="I6" t="str">
        <f>_xlfn.XLOOKUP(C6,Nodes!$D:$D,Nodes!$E:$E)</f>
        <v>Germany</v>
      </c>
      <c r="J6" t="str">
        <f>_xlfn.XLOOKUP(E6,Nodes!$D:$D,Nodes!$E:$E)</f>
        <v>Germany</v>
      </c>
      <c r="K6" s="4"/>
    </row>
    <row r="7" spans="1:11">
      <c r="A7">
        <v>6</v>
      </c>
      <c r="B7" s="2" cm="1">
        <f t="array" ref="B7">INDEX(Nodes!$A:$A,MATCH(C7,Nodes!$D:$D,0))</f>
        <v>15</v>
      </c>
      <c r="C7" s="2" t="s">
        <v>25</v>
      </c>
      <c r="D7" s="2" cm="1">
        <f t="array" ref="D7">INDEX(Nodes!$A:$A,MATCH(E7,Nodes!$D:$D,0))</f>
        <v>2</v>
      </c>
      <c r="E7" s="2" t="s">
        <v>11</v>
      </c>
      <c r="F7" s="2">
        <v>274.662616</v>
      </c>
      <c r="G7" s="3">
        <v>0.972906170147588</v>
      </c>
      <c r="H7" s="2" t="s">
        <v>114</v>
      </c>
      <c r="I7" t="str">
        <f>_xlfn.XLOOKUP(C7,Nodes!$D:$D,Nodes!$E:$E)</f>
        <v>Germany</v>
      </c>
      <c r="J7" t="str">
        <f>_xlfn.XLOOKUP(E7,Nodes!$D:$D,Nodes!$E:$E)</f>
        <v>Germany</v>
      </c>
      <c r="K7" s="4"/>
    </row>
    <row r="8" spans="1:11">
      <c r="A8">
        <v>7</v>
      </c>
      <c r="B8" s="2" cm="1">
        <f t="array" ref="B8">INDEX(Nodes!$A:$A,MATCH(C8,Nodes!$D:$D,0))</f>
        <v>2</v>
      </c>
      <c r="C8" s="2" t="s">
        <v>11</v>
      </c>
      <c r="D8" s="2" cm="1">
        <f t="array" ref="D8">INDEX(Nodes!$A:$A,MATCH(E8,Nodes!$D:$D,0))</f>
        <v>3</v>
      </c>
      <c r="E8" s="2" t="s">
        <v>13</v>
      </c>
      <c r="F8" s="2">
        <v>591.994396</v>
      </c>
      <c r="G8" s="3">
        <v>0.942515984832489</v>
      </c>
      <c r="H8" s="2" t="s">
        <v>114</v>
      </c>
      <c r="I8" t="str">
        <f>_xlfn.XLOOKUP(C8,Nodes!$D:$D,Nodes!$E:$E)</f>
        <v>Germany</v>
      </c>
      <c r="J8" t="str">
        <f>_xlfn.XLOOKUP(E8,Nodes!$D:$D,Nodes!$E:$E)</f>
        <v>Germany</v>
      </c>
      <c r="K8" s="4"/>
    </row>
    <row r="9" spans="1:11">
      <c r="A9">
        <v>8</v>
      </c>
      <c r="B9" s="2" cm="1">
        <f t="array" ref="B9">INDEX(Nodes!$A:$A,MATCH(C9,Nodes!$D:$D,0))</f>
        <v>5</v>
      </c>
      <c r="C9" s="2" t="s">
        <v>15</v>
      </c>
      <c r="D9" s="2" cm="1">
        <f t="array" ref="D9">INDEX(Nodes!$A:$A,MATCH(E9,Nodes!$D:$D,0))</f>
        <v>3</v>
      </c>
      <c r="E9" s="2" t="s">
        <v>13</v>
      </c>
      <c r="F9" s="2">
        <v>96.431414</v>
      </c>
      <c r="G9" s="3">
        <v>0.990402727033104</v>
      </c>
      <c r="H9" s="2" t="s">
        <v>114</v>
      </c>
      <c r="I9" t="str">
        <f>_xlfn.XLOOKUP(C9,Nodes!$D:$D,Nodes!$E:$E)</f>
        <v>Germany</v>
      </c>
      <c r="J9" t="str">
        <f>_xlfn.XLOOKUP(E9,Nodes!$D:$D,Nodes!$E:$E)</f>
        <v>Germany</v>
      </c>
      <c r="K9" s="4"/>
    </row>
    <row r="10" spans="1:11">
      <c r="A10">
        <v>9</v>
      </c>
      <c r="B10" s="2" cm="1">
        <f t="array" ref="B10">INDEX(Nodes!$A:$A,MATCH(C10,Nodes!$D:$D,0))</f>
        <v>6</v>
      </c>
      <c r="C10" s="2" t="s">
        <v>16</v>
      </c>
      <c r="D10" s="2" cm="1">
        <f t="array" ref="D10">INDEX(Nodes!$A:$A,MATCH(E10,Nodes!$D:$D,0))</f>
        <v>3</v>
      </c>
      <c r="E10" s="2" t="s">
        <v>13</v>
      </c>
      <c r="F10" s="2">
        <v>379.99508</v>
      </c>
      <c r="G10" s="3">
        <v>0.962711585294069</v>
      </c>
      <c r="H10" s="2" t="s">
        <v>114</v>
      </c>
      <c r="I10" t="str">
        <f>_xlfn.XLOOKUP(C10,Nodes!$D:$D,Nodes!$E:$E)</f>
        <v>Germany</v>
      </c>
      <c r="J10" t="str">
        <f>_xlfn.XLOOKUP(E10,Nodes!$D:$D,Nodes!$E:$E)</f>
        <v>Germany</v>
      </c>
      <c r="K10" s="4"/>
    </row>
    <row r="11" spans="1:11">
      <c r="A11">
        <v>10</v>
      </c>
      <c r="B11" s="2" cm="1">
        <f t="array" ref="B11">INDEX(Nodes!$A:$A,MATCH(C11,Nodes!$D:$D,0))</f>
        <v>5</v>
      </c>
      <c r="C11" s="2" t="s">
        <v>15</v>
      </c>
      <c r="D11" s="2" cm="1">
        <f t="array" ref="D11">INDEX(Nodes!$A:$A,MATCH(E11,Nodes!$D:$D,0))</f>
        <v>4</v>
      </c>
      <c r="E11" s="2" t="s">
        <v>14</v>
      </c>
      <c r="F11" s="2">
        <v>120.355741</v>
      </c>
      <c r="G11" s="3">
        <v>0.988035969106388</v>
      </c>
      <c r="H11" s="2" t="s">
        <v>114</v>
      </c>
      <c r="I11" t="str">
        <f>_xlfn.XLOOKUP(C11,Nodes!$D:$D,Nodes!$E:$E)</f>
        <v>Germany</v>
      </c>
      <c r="J11" t="str">
        <f>_xlfn.XLOOKUP(E11,Nodes!$D:$D,Nodes!$E:$E)</f>
        <v>Germany</v>
      </c>
      <c r="K11" s="4"/>
    </row>
    <row r="12" spans="1:11">
      <c r="A12">
        <v>11</v>
      </c>
      <c r="B12" s="2" cm="1">
        <f t="array" ref="B12">INDEX(Nodes!$A:$A,MATCH(C12,Nodes!$D:$D,0))</f>
        <v>14</v>
      </c>
      <c r="C12" s="2" t="s">
        <v>24</v>
      </c>
      <c r="D12" s="2" cm="1">
        <f t="array" ref="D12">INDEX(Nodes!$A:$A,MATCH(E12,Nodes!$D:$D,0))</f>
        <v>4</v>
      </c>
      <c r="E12" s="2" t="s">
        <v>14</v>
      </c>
      <c r="F12" s="2">
        <v>233.112683</v>
      </c>
      <c r="G12" s="3">
        <v>0.976957201496716</v>
      </c>
      <c r="H12" s="2" t="s">
        <v>114</v>
      </c>
      <c r="I12" t="str">
        <f>_xlfn.XLOOKUP(C12,Nodes!$D:$D,Nodes!$E:$E)</f>
        <v>Germany</v>
      </c>
      <c r="J12" t="str">
        <f>_xlfn.XLOOKUP(E12,Nodes!$D:$D,Nodes!$E:$E)</f>
        <v>Germany</v>
      </c>
      <c r="K12" s="4"/>
    </row>
    <row r="13" spans="1:11">
      <c r="A13">
        <v>12</v>
      </c>
      <c r="B13" s="2" cm="1">
        <f t="array" ref="B13">INDEX(Nodes!$A:$A,MATCH(C13,Nodes!$D:$D,0))</f>
        <v>2</v>
      </c>
      <c r="C13" s="2" t="s">
        <v>11</v>
      </c>
      <c r="D13" s="2" cm="1">
        <f t="array" ref="D13">INDEX(Nodes!$A:$A,MATCH(E13,Nodes!$D:$D,0))</f>
        <v>7</v>
      </c>
      <c r="E13" s="2" t="s">
        <v>17</v>
      </c>
      <c r="F13" s="2">
        <v>456.223709</v>
      </c>
      <c r="G13" s="3">
        <v>0.95540050240262</v>
      </c>
      <c r="H13" s="2" t="s">
        <v>114</v>
      </c>
      <c r="I13" t="str">
        <f>_xlfn.XLOOKUP(C13,Nodes!$D:$D,Nodes!$E:$E)</f>
        <v>Germany</v>
      </c>
      <c r="J13" t="str">
        <f>_xlfn.XLOOKUP(E13,Nodes!$D:$D,Nodes!$E:$E)</f>
        <v>Germany</v>
      </c>
      <c r="K13" s="4"/>
    </row>
    <row r="14" spans="1:11">
      <c r="A14">
        <v>13</v>
      </c>
      <c r="B14" s="2" cm="1">
        <f t="array" ref="B14">INDEX(Nodes!$A:$A,MATCH(C14,Nodes!$D:$D,0))</f>
        <v>6</v>
      </c>
      <c r="C14" s="2" t="s">
        <v>16</v>
      </c>
      <c r="D14" s="2" cm="1">
        <f t="array" ref="D14">INDEX(Nodes!$A:$A,MATCH(E14,Nodes!$D:$D,0))</f>
        <v>7</v>
      </c>
      <c r="E14" s="2" t="s">
        <v>17</v>
      </c>
      <c r="F14" s="2">
        <v>757.638654</v>
      </c>
      <c r="G14" s="3">
        <v>0.927031573759503</v>
      </c>
      <c r="H14" s="2" t="s">
        <v>114</v>
      </c>
      <c r="I14" t="str">
        <f>_xlfn.XLOOKUP(C14,Nodes!$D:$D,Nodes!$E:$E)</f>
        <v>Germany</v>
      </c>
      <c r="J14" t="str">
        <f>_xlfn.XLOOKUP(E14,Nodes!$D:$D,Nodes!$E:$E)</f>
        <v>Germany</v>
      </c>
      <c r="K14" s="4"/>
    </row>
    <row r="15" spans="1:11">
      <c r="A15">
        <v>14</v>
      </c>
      <c r="B15" s="2" cm="1">
        <f t="array" ref="B15">INDEX(Nodes!$A:$A,MATCH(C15,Nodes!$D:$D,0))</f>
        <v>7</v>
      </c>
      <c r="C15" s="2" t="s">
        <v>17</v>
      </c>
      <c r="D15" s="2" cm="1">
        <f t="array" ref="D15">INDEX(Nodes!$A:$A,MATCH(E15,Nodes!$D:$D,0))</f>
        <v>8</v>
      </c>
      <c r="E15" s="2" t="s">
        <v>18</v>
      </c>
      <c r="F15" s="2">
        <v>120.742618</v>
      </c>
      <c r="G15" s="3">
        <v>0.987997743095337</v>
      </c>
      <c r="H15" s="2" t="s">
        <v>114</v>
      </c>
      <c r="I15" t="str">
        <f>_xlfn.XLOOKUP(C15,Nodes!$D:$D,Nodes!$E:$E)</f>
        <v>Germany</v>
      </c>
      <c r="J15" t="str">
        <f>_xlfn.XLOOKUP(E15,Nodes!$D:$D,Nodes!$E:$E)</f>
        <v>Germany</v>
      </c>
      <c r="K15" s="4"/>
    </row>
    <row r="16" spans="1:11">
      <c r="A16">
        <v>15</v>
      </c>
      <c r="B16" s="2" cm="1">
        <f t="array" ref="B16">INDEX(Nodes!$A:$A,MATCH(C16,Nodes!$D:$D,0))</f>
        <v>10</v>
      </c>
      <c r="C16" s="2" t="s">
        <v>20</v>
      </c>
      <c r="D16" s="2" cm="1">
        <f t="array" ref="D16">INDEX(Nodes!$A:$A,MATCH(E16,Nodes!$D:$D,0))</f>
        <v>8</v>
      </c>
      <c r="E16" s="2" t="s">
        <v>18</v>
      </c>
      <c r="F16" s="2">
        <v>73.789239</v>
      </c>
      <c r="G16" s="3">
        <v>0.992647867262256</v>
      </c>
      <c r="H16" s="2" t="s">
        <v>114</v>
      </c>
      <c r="I16" t="str">
        <f>_xlfn.XLOOKUP(C16,Nodes!$D:$D,Nodes!$E:$E)</f>
        <v>Germany</v>
      </c>
      <c r="J16" t="str">
        <f>_xlfn.XLOOKUP(E16,Nodes!$D:$D,Nodes!$E:$E)</f>
        <v>Germany</v>
      </c>
      <c r="K16" s="4"/>
    </row>
    <row r="17" spans="1:11">
      <c r="A17">
        <v>16</v>
      </c>
      <c r="B17" s="2" cm="1">
        <f t="array" ref="B17">INDEX(Nodes!$A:$A,MATCH(C17,Nodes!$D:$D,0))</f>
        <v>2</v>
      </c>
      <c r="C17" s="2" t="s">
        <v>11</v>
      </c>
      <c r="D17" s="2" cm="1">
        <f t="array" ref="D17">INDEX(Nodes!$A:$A,MATCH(E17,Nodes!$D:$D,0))</f>
        <v>9</v>
      </c>
      <c r="E17" s="2" t="s">
        <v>19</v>
      </c>
      <c r="F17" s="2">
        <v>187.534161</v>
      </c>
      <c r="G17" s="3">
        <v>0.981420414797573</v>
      </c>
      <c r="H17" s="2" t="s">
        <v>114</v>
      </c>
      <c r="I17" t="str">
        <f>_xlfn.XLOOKUP(C17,Nodes!$D:$D,Nodes!$E:$E)</f>
        <v>Germany</v>
      </c>
      <c r="J17" t="str">
        <f>_xlfn.XLOOKUP(E17,Nodes!$D:$D,Nodes!$E:$E)</f>
        <v>Germany</v>
      </c>
      <c r="K17" s="4"/>
    </row>
    <row r="18" spans="1:11">
      <c r="A18">
        <v>17</v>
      </c>
      <c r="B18" s="2" cm="1">
        <f t="array" ref="B18">INDEX(Nodes!$A:$A,MATCH(C18,Nodes!$D:$D,0))</f>
        <v>7</v>
      </c>
      <c r="C18" s="2" t="s">
        <v>17</v>
      </c>
      <c r="D18" s="2" cm="1">
        <f t="array" ref="D18">INDEX(Nodes!$A:$A,MATCH(E18,Nodes!$D:$D,0))</f>
        <v>9</v>
      </c>
      <c r="E18" s="2" t="s">
        <v>19</v>
      </c>
      <c r="F18" s="2">
        <v>151.102047</v>
      </c>
      <c r="G18" s="3">
        <v>0.985002637389733</v>
      </c>
      <c r="H18" s="2" t="s">
        <v>114</v>
      </c>
      <c r="I18" t="str">
        <f>_xlfn.XLOOKUP(C18,Nodes!$D:$D,Nodes!$E:$E)</f>
        <v>Germany</v>
      </c>
      <c r="J18" t="str">
        <f>_xlfn.XLOOKUP(E18,Nodes!$D:$D,Nodes!$E:$E)</f>
        <v>Germany</v>
      </c>
      <c r="K18" s="4"/>
    </row>
    <row r="19" spans="1:11">
      <c r="A19">
        <v>18</v>
      </c>
      <c r="B19" s="2" cm="1">
        <f t="array" ref="B19">INDEX(Nodes!$A:$A,MATCH(C19,Nodes!$D:$D,0))</f>
        <v>17</v>
      </c>
      <c r="C19" s="2" t="s">
        <v>27</v>
      </c>
      <c r="D19" s="2" cm="1">
        <f t="array" ref="D19">INDEX(Nodes!$A:$A,MATCH(E19,Nodes!$D:$D,0))</f>
        <v>9</v>
      </c>
      <c r="E19" s="2" t="s">
        <v>19</v>
      </c>
      <c r="F19" s="2">
        <v>229.464814</v>
      </c>
      <c r="G19" s="3">
        <v>0.977313665521932</v>
      </c>
      <c r="H19" s="2" t="s">
        <v>114</v>
      </c>
      <c r="I19" t="str">
        <f>_xlfn.XLOOKUP(C19,Nodes!$D:$D,Nodes!$E:$E)</f>
        <v>Germany</v>
      </c>
      <c r="J19" t="str">
        <f>_xlfn.XLOOKUP(E19,Nodes!$D:$D,Nodes!$E:$E)</f>
        <v>Germany</v>
      </c>
      <c r="K19" s="4"/>
    </row>
    <row r="20" spans="1:11">
      <c r="A20">
        <v>19</v>
      </c>
      <c r="B20" s="2" cm="1">
        <f t="array" ref="B20">INDEX(Nodes!$A:$A,MATCH(C20,Nodes!$D:$D,0))</f>
        <v>9</v>
      </c>
      <c r="C20" s="2" t="s">
        <v>19</v>
      </c>
      <c r="D20" s="2" cm="1">
        <f t="array" ref="D20">INDEX(Nodes!$A:$A,MATCH(E20,Nodes!$D:$D,0))</f>
        <v>10</v>
      </c>
      <c r="E20" s="2" t="s">
        <v>20</v>
      </c>
      <c r="F20" s="2">
        <v>163.638057</v>
      </c>
      <c r="G20" s="3">
        <v>0.983768549081847</v>
      </c>
      <c r="H20" s="2" t="s">
        <v>114</v>
      </c>
      <c r="I20" t="str">
        <f>_xlfn.XLOOKUP(C20,Nodes!$D:$D,Nodes!$E:$E)</f>
        <v>Germany</v>
      </c>
      <c r="J20" t="str">
        <f>_xlfn.XLOOKUP(E20,Nodes!$D:$D,Nodes!$E:$E)</f>
        <v>Germany</v>
      </c>
      <c r="K20" s="4"/>
    </row>
    <row r="21" spans="1:11">
      <c r="A21">
        <v>20</v>
      </c>
      <c r="B21" s="2" cm="1">
        <f t="array" ref="B21">INDEX(Nodes!$A:$A,MATCH(C21,Nodes!$D:$D,0))</f>
        <v>11</v>
      </c>
      <c r="C21" s="2" t="s">
        <v>21</v>
      </c>
      <c r="D21" s="2" cm="1">
        <f t="array" ref="D21">INDEX(Nodes!$A:$A,MATCH(E21,Nodes!$D:$D,0))</f>
        <v>10</v>
      </c>
      <c r="E21" s="2" t="s">
        <v>20</v>
      </c>
      <c r="F21" s="2">
        <v>60.547724</v>
      </c>
      <c r="G21" s="3">
        <v>0.993963219864248</v>
      </c>
      <c r="H21" s="2" t="s">
        <v>114</v>
      </c>
      <c r="I21" t="str">
        <f>_xlfn.XLOOKUP(C21,Nodes!$D:$D,Nodes!$E:$E)</f>
        <v>Germany</v>
      </c>
      <c r="J21" t="str">
        <f>_xlfn.XLOOKUP(E21,Nodes!$D:$D,Nodes!$E:$E)</f>
        <v>Germany</v>
      </c>
      <c r="K21" s="4"/>
    </row>
    <row r="22" spans="1:11">
      <c r="A22">
        <v>21</v>
      </c>
      <c r="B22" s="2" cm="1">
        <f t="array" ref="B22">INDEX(Nodes!$A:$A,MATCH(C22,Nodes!$D:$D,0))</f>
        <v>2</v>
      </c>
      <c r="C22" s="2" t="s">
        <v>11</v>
      </c>
      <c r="D22" s="2" cm="1">
        <f t="array" ref="D22">INDEX(Nodes!$A:$A,MATCH(E22,Nodes!$D:$D,0))</f>
        <v>12</v>
      </c>
      <c r="E22" s="2" t="s">
        <v>22</v>
      </c>
      <c r="F22" s="2">
        <v>69.04842</v>
      </c>
      <c r="G22" s="3">
        <v>0.99311859875999</v>
      </c>
      <c r="H22" s="2" t="s">
        <v>114</v>
      </c>
      <c r="I22" t="str">
        <f>_xlfn.XLOOKUP(C22,Nodes!$D:$D,Nodes!$E:$E)</f>
        <v>Germany</v>
      </c>
      <c r="J22" t="str">
        <f>_xlfn.XLOOKUP(E22,Nodes!$D:$D,Nodes!$E:$E)</f>
        <v>Germany</v>
      </c>
      <c r="K22" s="4"/>
    </row>
    <row r="23" spans="1:11">
      <c r="A23">
        <v>22</v>
      </c>
      <c r="B23" s="2" cm="1">
        <f t="array" ref="B23">INDEX(Nodes!$A:$A,MATCH(C23,Nodes!$D:$D,0))</f>
        <v>11</v>
      </c>
      <c r="C23" s="2" t="s">
        <v>21</v>
      </c>
      <c r="D23" s="2" cm="1">
        <f t="array" ref="D23">INDEX(Nodes!$A:$A,MATCH(E23,Nodes!$D:$D,0))</f>
        <v>12</v>
      </c>
      <c r="E23" s="2" t="s">
        <v>22</v>
      </c>
      <c r="F23" s="2">
        <v>53.688491</v>
      </c>
      <c r="G23" s="3">
        <v>0.994645270389621</v>
      </c>
      <c r="H23" s="2" t="s">
        <v>114</v>
      </c>
      <c r="I23" t="str">
        <f>_xlfn.XLOOKUP(C23,Nodes!$D:$D,Nodes!$E:$E)</f>
        <v>Germany</v>
      </c>
      <c r="J23" t="str">
        <f>_xlfn.XLOOKUP(E23,Nodes!$D:$D,Nodes!$E:$E)</f>
        <v>Germany</v>
      </c>
      <c r="K23" s="4"/>
    </row>
    <row r="24" spans="1:11">
      <c r="A24">
        <v>23</v>
      </c>
      <c r="B24" s="2" cm="1">
        <f t="array" ref="B24">INDEX(Nodes!$A:$A,MATCH(C24,Nodes!$D:$D,0))</f>
        <v>14</v>
      </c>
      <c r="C24" s="2" t="s">
        <v>24</v>
      </c>
      <c r="D24" s="2" cm="1">
        <f t="array" ref="D24">INDEX(Nodes!$A:$A,MATCH(E24,Nodes!$D:$D,0))</f>
        <v>13</v>
      </c>
      <c r="E24" s="2" t="s">
        <v>23</v>
      </c>
      <c r="F24" s="2">
        <v>34.143039</v>
      </c>
      <c r="G24" s="3">
        <v>0.996591348062884</v>
      </c>
      <c r="H24" s="2" t="s">
        <v>114</v>
      </c>
      <c r="I24" t="str">
        <f>_xlfn.XLOOKUP(C24,Nodes!$D:$D,Nodes!$E:$E)</f>
        <v>Germany</v>
      </c>
      <c r="J24" t="str">
        <f>_xlfn.XLOOKUP(E24,Nodes!$D:$D,Nodes!$E:$E)</f>
        <v>Germany</v>
      </c>
      <c r="K24" s="4"/>
    </row>
    <row r="25" spans="1:11">
      <c r="A25">
        <v>24</v>
      </c>
      <c r="B25" s="2" cm="1">
        <f t="array" ref="B25">INDEX(Nodes!$A:$A,MATCH(C25,Nodes!$D:$D,0))</f>
        <v>15</v>
      </c>
      <c r="C25" s="2" t="s">
        <v>25</v>
      </c>
      <c r="D25" s="2" cm="1">
        <f t="array" ref="D25">INDEX(Nodes!$A:$A,MATCH(E25,Nodes!$D:$D,0))</f>
        <v>13</v>
      </c>
      <c r="E25" s="2" t="s">
        <v>23</v>
      </c>
      <c r="F25" s="2">
        <v>27.907922</v>
      </c>
      <c r="G25" s="3">
        <v>0.997212959280393</v>
      </c>
      <c r="H25" s="2" t="s">
        <v>114</v>
      </c>
      <c r="I25" t="str">
        <f>_xlfn.XLOOKUP(C25,Nodes!$D:$D,Nodes!$E:$E)</f>
        <v>Germany</v>
      </c>
      <c r="J25" t="str">
        <f>_xlfn.XLOOKUP(E25,Nodes!$D:$D,Nodes!$E:$E)</f>
        <v>Germany</v>
      </c>
      <c r="K25" s="4"/>
    </row>
    <row r="26" spans="1:11">
      <c r="A26">
        <v>25</v>
      </c>
      <c r="B26" s="2" cm="1">
        <f t="array" ref="B26">INDEX(Nodes!$A:$A,MATCH(C26,Nodes!$D:$D,0))</f>
        <v>2</v>
      </c>
      <c r="C26" s="2" t="s">
        <v>11</v>
      </c>
      <c r="D26" s="2" cm="1">
        <f t="array" ref="D26">INDEX(Nodes!$A:$A,MATCH(E26,Nodes!$D:$D,0))</f>
        <v>16</v>
      </c>
      <c r="E26" s="2" t="s">
        <v>26</v>
      </c>
      <c r="F26" s="2">
        <v>148.630719</v>
      </c>
      <c r="G26" s="3">
        <v>0.985246106106471</v>
      </c>
      <c r="H26" s="2" t="s">
        <v>114</v>
      </c>
      <c r="I26" t="str">
        <f>_xlfn.XLOOKUP(C26,Nodes!$D:$D,Nodes!$E:$E)</f>
        <v>Germany</v>
      </c>
      <c r="J26" t="str">
        <f>_xlfn.XLOOKUP(E26,Nodes!$D:$D,Nodes!$E:$E)</f>
        <v>Germany</v>
      </c>
      <c r="K26" s="4"/>
    </row>
    <row r="27" spans="1:11">
      <c r="A27">
        <v>26</v>
      </c>
      <c r="B27" s="2" cm="1">
        <f t="array" ref="B27">INDEX(Nodes!$A:$A,MATCH(C27,Nodes!$D:$D,0))</f>
        <v>14</v>
      </c>
      <c r="C27" s="2" t="s">
        <v>24</v>
      </c>
      <c r="D27" s="2" cm="1">
        <f t="array" ref="D27">INDEX(Nodes!$A:$A,MATCH(E27,Nodes!$D:$D,0))</f>
        <v>16</v>
      </c>
      <c r="E27" s="2" t="s">
        <v>26</v>
      </c>
      <c r="F27" s="2">
        <v>73.318817</v>
      </c>
      <c r="G27" s="3">
        <v>0.992694567035206</v>
      </c>
      <c r="H27" s="2" t="s">
        <v>114</v>
      </c>
      <c r="I27" t="str">
        <f>_xlfn.XLOOKUP(C27,Nodes!$D:$D,Nodes!$E:$E)</f>
        <v>Germany</v>
      </c>
      <c r="J27" t="str">
        <f>_xlfn.XLOOKUP(E27,Nodes!$D:$D,Nodes!$E:$E)</f>
        <v>Germany</v>
      </c>
      <c r="K27" s="4"/>
    </row>
    <row r="28" spans="1:11">
      <c r="A28">
        <v>27</v>
      </c>
      <c r="B28" s="2" cm="1">
        <f t="array" ref="B28">INDEX(Nodes!$A:$A,MATCH(C28,Nodes!$D:$D,0))</f>
        <v>15</v>
      </c>
      <c r="C28" s="2" t="s">
        <v>25</v>
      </c>
      <c r="D28" s="2" cm="1">
        <f t="array" ref="D28">INDEX(Nodes!$A:$A,MATCH(E28,Nodes!$D:$D,0))</f>
        <v>16</v>
      </c>
      <c r="E28" s="2" t="s">
        <v>26</v>
      </c>
      <c r="F28" s="2">
        <v>38.031708</v>
      </c>
      <c r="G28" s="3">
        <v>0.996203862645212</v>
      </c>
      <c r="H28" s="2" t="s">
        <v>114</v>
      </c>
      <c r="I28" t="str">
        <f>_xlfn.XLOOKUP(C28,Nodes!$D:$D,Nodes!$E:$E)</f>
        <v>Germany</v>
      </c>
      <c r="J28" t="str">
        <f>_xlfn.XLOOKUP(E28,Nodes!$D:$D,Nodes!$E:$E)</f>
        <v>Germany</v>
      </c>
      <c r="K28" s="4"/>
    </row>
    <row r="29" spans="1:11">
      <c r="A29">
        <v>28</v>
      </c>
      <c r="B29" s="2" cm="1">
        <f t="array" ref="B29">INDEX(Nodes!$A:$A,MATCH(C29,Nodes!$D:$D,0))</f>
        <v>1</v>
      </c>
      <c r="C29" s="2" t="s">
        <v>8</v>
      </c>
      <c r="D29" s="2" cm="1">
        <f t="array" ref="D29">INDEX(Nodes!$A:$A,MATCH(E29,Nodes!$D:$D,0))</f>
        <v>17</v>
      </c>
      <c r="E29" s="2" t="s">
        <v>27</v>
      </c>
      <c r="F29" s="2">
        <v>212.148736</v>
      </c>
      <c r="G29" s="3">
        <v>0.979007540323484</v>
      </c>
      <c r="H29" s="2" t="s">
        <v>114</v>
      </c>
      <c r="I29" t="str">
        <f>_xlfn.XLOOKUP(C29,Nodes!$D:$D,Nodes!$E:$E)</f>
        <v>Germany</v>
      </c>
      <c r="J29" t="str">
        <f>_xlfn.XLOOKUP(E29,Nodes!$D:$D,Nodes!$E:$E)</f>
        <v>Germany</v>
      </c>
      <c r="K29" s="4"/>
    </row>
    <row r="30" spans="1:11">
      <c r="A30">
        <v>29</v>
      </c>
      <c r="B30" s="2" cm="1">
        <f t="array" ref="B30">INDEX(Nodes!$A:$A,MATCH(C30,Nodes!$D:$D,0))</f>
        <v>2</v>
      </c>
      <c r="C30" s="2" t="s">
        <v>11</v>
      </c>
      <c r="D30" s="2" cm="1">
        <f t="array" ref="D30">INDEX(Nodes!$A:$A,MATCH(E30,Nodes!$D:$D,0))</f>
        <v>17</v>
      </c>
      <c r="E30" s="2" t="s">
        <v>27</v>
      </c>
      <c r="F30" s="2">
        <v>295.291455</v>
      </c>
      <c r="G30" s="3">
        <v>0.97090114619699</v>
      </c>
      <c r="H30" s="2" t="s">
        <v>114</v>
      </c>
      <c r="I30" t="str">
        <f>_xlfn.XLOOKUP(C30,Nodes!$D:$D,Nodes!$E:$E)</f>
        <v>Germany</v>
      </c>
      <c r="J30" t="str">
        <f>_xlfn.XLOOKUP(E30,Nodes!$D:$D,Nodes!$E:$E)</f>
        <v>Germany</v>
      </c>
      <c r="K30" s="4"/>
    </row>
    <row r="31" spans="1:11">
      <c r="A31">
        <v>30</v>
      </c>
      <c r="B31" s="2" cm="1">
        <f t="array" ref="B31">INDEX(Nodes!$A:$A,MATCH(C31,Nodes!$D:$D,0))</f>
        <v>6</v>
      </c>
      <c r="C31" s="2" t="s">
        <v>16</v>
      </c>
      <c r="D31" s="2" cm="1">
        <f t="array" ref="D31">INDEX(Nodes!$A:$A,MATCH(E31,Nodes!$D:$D,0))</f>
        <v>17</v>
      </c>
      <c r="E31" s="2" t="s">
        <v>27</v>
      </c>
      <c r="F31" s="2">
        <v>148.68126</v>
      </c>
      <c r="G31" s="3">
        <v>0.985241126337717</v>
      </c>
      <c r="H31" s="2" t="s">
        <v>114</v>
      </c>
      <c r="I31" t="str">
        <f>_xlfn.XLOOKUP(C31,Nodes!$D:$D,Nodes!$E:$E)</f>
        <v>Germany</v>
      </c>
      <c r="J31" t="str">
        <f>_xlfn.XLOOKUP(E31,Nodes!$D:$D,Nodes!$E:$E)</f>
        <v>Germany</v>
      </c>
      <c r="K31" s="4"/>
    </row>
    <row r="32" spans="1:11">
      <c r="A32">
        <v>31</v>
      </c>
      <c r="B32" s="5" cm="1">
        <f t="array" ref="B32">INDEX(Nodes!$A:$A,MATCH(C32,Nodes!$D:$D,0))</f>
        <v>18</v>
      </c>
      <c r="C32" s="5" t="s">
        <v>28</v>
      </c>
      <c r="D32" s="5" cm="1">
        <f t="array" ref="D32">INDEX(Nodes!$A:$A,MATCH(E32,Nodes!$D:$D,0))</f>
        <v>22</v>
      </c>
      <c r="E32" s="5" t="s">
        <v>33</v>
      </c>
      <c r="F32" s="5">
        <v>97.504665</v>
      </c>
      <c r="G32" s="6">
        <f>(0.9999)^F32</f>
        <v>0.990296432350708</v>
      </c>
      <c r="H32" s="5" t="s">
        <v>114</v>
      </c>
      <c r="I32" t="str">
        <f>_xlfn.XLOOKUP(C32,Nodes!$D:$D,Nodes!$E:$E)</f>
        <v>France</v>
      </c>
      <c r="J32" t="str">
        <f>_xlfn.XLOOKUP(E32,Nodes!$D:$D,Nodes!$E:$E)</f>
        <v>France</v>
      </c>
      <c r="K32" s="4"/>
    </row>
    <row r="33" spans="1:11">
      <c r="A33">
        <v>32</v>
      </c>
      <c r="B33" s="5" cm="1">
        <f t="array" ref="B33">INDEX(Nodes!$A:$A,MATCH(C33,Nodes!$D:$D,0))</f>
        <v>18</v>
      </c>
      <c r="C33" s="5" t="s">
        <v>28</v>
      </c>
      <c r="D33" s="5" cm="1">
        <f t="array" ref="D33">INDEX(Nodes!$A:$A,MATCH(E33,Nodes!$D:$D,0))</f>
        <v>24</v>
      </c>
      <c r="E33" s="5" t="s">
        <v>35</v>
      </c>
      <c r="F33" s="5">
        <v>498.184632</v>
      </c>
      <c r="G33" s="6">
        <f t="shared" ref="G33:G59" si="0">(0.9999)^F33</f>
        <v>0.951399753296996</v>
      </c>
      <c r="H33" s="5" t="s">
        <v>114</v>
      </c>
      <c r="I33" t="str">
        <f>_xlfn.XLOOKUP(C33,Nodes!$D:$D,Nodes!$E:$E)</f>
        <v>France</v>
      </c>
      <c r="J33" t="str">
        <f>_xlfn.XLOOKUP(E33,Nodes!$D:$D,Nodes!$E:$E)</f>
        <v>France</v>
      </c>
      <c r="K33" s="4"/>
    </row>
    <row r="34" spans="1:11">
      <c r="A34">
        <v>33</v>
      </c>
      <c r="B34" s="5" cm="1">
        <f t="array" ref="B34">INDEX(Nodes!$A:$A,MATCH(C34,Nodes!$D:$D,0))</f>
        <v>20</v>
      </c>
      <c r="C34" s="5" t="s">
        <v>31</v>
      </c>
      <c r="D34" s="5" cm="1">
        <f t="array" ref="D34">INDEX(Nodes!$A:$A,MATCH(E34,Nodes!$D:$D,0))</f>
        <v>19</v>
      </c>
      <c r="E34" s="5" t="s">
        <v>30</v>
      </c>
      <c r="F34" s="5">
        <v>110.520863</v>
      </c>
      <c r="G34" s="6">
        <f t="shared" si="0"/>
        <v>0.989008217059802</v>
      </c>
      <c r="H34" s="5" t="s">
        <v>114</v>
      </c>
      <c r="I34" t="str">
        <f>_xlfn.XLOOKUP(C34,Nodes!$D:$D,Nodes!$E:$E)</f>
        <v>France</v>
      </c>
      <c r="J34" t="str">
        <f>_xlfn.XLOOKUP(E34,Nodes!$D:$D,Nodes!$E:$E)</f>
        <v>France</v>
      </c>
      <c r="K34" s="4"/>
    </row>
    <row r="35" spans="1:11">
      <c r="A35">
        <v>34</v>
      </c>
      <c r="B35" s="5" cm="1">
        <f t="array" ref="B35">INDEX(Nodes!$A:$A,MATCH(C35,Nodes!$D:$D,0))</f>
        <v>21</v>
      </c>
      <c r="C35" s="5" t="s">
        <v>32</v>
      </c>
      <c r="D35" s="5" cm="1">
        <f t="array" ref="D35">INDEX(Nodes!$A:$A,MATCH(E35,Nodes!$D:$D,0))</f>
        <v>19</v>
      </c>
      <c r="E35" s="5" t="s">
        <v>30</v>
      </c>
      <c r="F35" s="5">
        <v>215.780659</v>
      </c>
      <c r="G35" s="6">
        <f t="shared" si="0"/>
        <v>0.978652019112031</v>
      </c>
      <c r="H35" s="5" t="s">
        <v>114</v>
      </c>
      <c r="I35" t="str">
        <f>_xlfn.XLOOKUP(C35,Nodes!$D:$D,Nodes!$E:$E)</f>
        <v>France</v>
      </c>
      <c r="J35" t="str">
        <f>_xlfn.XLOOKUP(E35,Nodes!$D:$D,Nodes!$E:$E)</f>
        <v>France</v>
      </c>
      <c r="K35" s="4"/>
    </row>
    <row r="36" spans="1:11">
      <c r="A36">
        <v>35</v>
      </c>
      <c r="B36" s="5" cm="1">
        <f t="array" ref="B36">INDEX(Nodes!$A:$A,MATCH(C36,Nodes!$D:$D,0))</f>
        <v>21</v>
      </c>
      <c r="C36" s="5" t="s">
        <v>32</v>
      </c>
      <c r="D36" s="5" cm="1">
        <f t="array" ref="D36">INDEX(Nodes!$A:$A,MATCH(E36,Nodes!$D:$D,0))</f>
        <v>20</v>
      </c>
      <c r="E36" s="5" t="s">
        <v>31</v>
      </c>
      <c r="F36" s="5">
        <v>147.413783</v>
      </c>
      <c r="G36" s="6">
        <f t="shared" si="0"/>
        <v>0.98536601754376</v>
      </c>
      <c r="H36" s="5" t="s">
        <v>114</v>
      </c>
      <c r="I36" t="str">
        <f>_xlfn.XLOOKUP(C36,Nodes!$D:$D,Nodes!$E:$E)</f>
        <v>France</v>
      </c>
      <c r="J36" t="str">
        <f>_xlfn.XLOOKUP(E36,Nodes!$D:$D,Nodes!$E:$E)</f>
        <v>France</v>
      </c>
      <c r="K36" s="4"/>
    </row>
    <row r="37" spans="1:11">
      <c r="A37">
        <v>36</v>
      </c>
      <c r="B37" s="5" cm="1">
        <f t="array" ref="B37">INDEX(Nodes!$A:$A,MATCH(C37,Nodes!$D:$D,0))</f>
        <v>21</v>
      </c>
      <c r="C37" s="5" t="s">
        <v>32</v>
      </c>
      <c r="D37" s="5" cm="1">
        <f t="array" ref="D37">INDEX(Nodes!$A:$A,MATCH(E37,Nodes!$D:$D,0))</f>
        <v>22</v>
      </c>
      <c r="E37" s="5" t="s">
        <v>33</v>
      </c>
      <c r="F37" s="5">
        <v>187.041586</v>
      </c>
      <c r="G37" s="6">
        <f t="shared" si="0"/>
        <v>0.981468760721682</v>
      </c>
      <c r="H37" s="5" t="s">
        <v>114</v>
      </c>
      <c r="I37" t="str">
        <f>_xlfn.XLOOKUP(C37,Nodes!$D:$D,Nodes!$E:$E)</f>
        <v>France</v>
      </c>
      <c r="J37" t="str">
        <f>_xlfn.XLOOKUP(E37,Nodes!$D:$D,Nodes!$E:$E)</f>
        <v>France</v>
      </c>
      <c r="K37" s="4"/>
    </row>
    <row r="38" spans="1:11">
      <c r="A38">
        <v>37</v>
      </c>
      <c r="B38" s="5" cm="1">
        <f t="array" ref="B38">INDEX(Nodes!$A:$A,MATCH(C38,Nodes!$D:$D,0))</f>
        <v>21</v>
      </c>
      <c r="C38" s="5" t="s">
        <v>32</v>
      </c>
      <c r="D38" s="5" cm="1">
        <f t="array" ref="D38">INDEX(Nodes!$A:$A,MATCH(E38,Nodes!$D:$D,0))</f>
        <v>23</v>
      </c>
      <c r="E38" s="5" t="s">
        <v>34</v>
      </c>
      <c r="F38" s="5">
        <v>62.214986</v>
      </c>
      <c r="G38" s="6">
        <f t="shared" si="0"/>
        <v>0.993797505682645</v>
      </c>
      <c r="H38" s="5" t="s">
        <v>114</v>
      </c>
      <c r="I38" t="str">
        <f>_xlfn.XLOOKUP(C38,Nodes!$D:$D,Nodes!$E:$E)</f>
        <v>France</v>
      </c>
      <c r="J38" t="str">
        <f>_xlfn.XLOOKUP(E38,Nodes!$D:$D,Nodes!$E:$E)</f>
        <v>France</v>
      </c>
      <c r="K38" s="4"/>
    </row>
    <row r="39" spans="1:11">
      <c r="A39">
        <v>38</v>
      </c>
      <c r="B39" s="5" cm="1">
        <f t="array" ref="B39">INDEX(Nodes!$A:$A,MATCH(C39,Nodes!$D:$D,0))</f>
        <v>23</v>
      </c>
      <c r="C39" s="5" t="s">
        <v>34</v>
      </c>
      <c r="D39" s="5" cm="1">
        <f t="array" ref="D39">INDEX(Nodes!$A:$A,MATCH(E39,Nodes!$D:$D,0))</f>
        <v>22</v>
      </c>
      <c r="E39" s="5" t="s">
        <v>33</v>
      </c>
      <c r="F39" s="5">
        <v>241.469374</v>
      </c>
      <c r="G39" s="6">
        <f t="shared" si="0"/>
        <v>0.976141088792669</v>
      </c>
      <c r="H39" s="5" t="s">
        <v>114</v>
      </c>
      <c r="I39" t="str">
        <f>_xlfn.XLOOKUP(C39,Nodes!$D:$D,Nodes!$E:$E)</f>
        <v>France</v>
      </c>
      <c r="J39" t="str">
        <f>_xlfn.XLOOKUP(E39,Nodes!$D:$D,Nodes!$E:$E)</f>
        <v>France</v>
      </c>
      <c r="K39" s="4"/>
    </row>
    <row r="40" spans="1:11">
      <c r="A40">
        <v>39</v>
      </c>
      <c r="B40" s="5" cm="1">
        <f t="array" ref="B40">INDEX(Nodes!$A:$A,MATCH(C40,Nodes!$D:$D,0))</f>
        <v>23</v>
      </c>
      <c r="C40" s="5" t="s">
        <v>34</v>
      </c>
      <c r="D40" s="5" cm="1">
        <f t="array" ref="D40">INDEX(Nodes!$A:$A,MATCH(E40,Nodes!$D:$D,0))</f>
        <v>24</v>
      </c>
      <c r="E40" s="5" t="s">
        <v>35</v>
      </c>
      <c r="F40" s="5">
        <v>191.331928</v>
      </c>
      <c r="G40" s="6">
        <f t="shared" si="0"/>
        <v>0.981047746327275</v>
      </c>
      <c r="H40" s="5" t="s">
        <v>114</v>
      </c>
      <c r="I40" t="str">
        <f>_xlfn.XLOOKUP(C40,Nodes!$D:$D,Nodes!$E:$E)</f>
        <v>France</v>
      </c>
      <c r="J40" t="str">
        <f>_xlfn.XLOOKUP(E40,Nodes!$D:$D,Nodes!$E:$E)</f>
        <v>France</v>
      </c>
      <c r="K40" s="4"/>
    </row>
    <row r="41" spans="1:11">
      <c r="A41">
        <v>40</v>
      </c>
      <c r="B41" s="5" cm="1">
        <f t="array" ref="B41">INDEX(Nodes!$A:$A,MATCH(C41,Nodes!$D:$D,0))</f>
        <v>26</v>
      </c>
      <c r="C41" s="5" t="s">
        <v>37</v>
      </c>
      <c r="D41" s="5" cm="1">
        <f t="array" ref="D41">INDEX(Nodes!$A:$A,MATCH(E41,Nodes!$D:$D,0))</f>
        <v>25</v>
      </c>
      <c r="E41" s="5" t="s">
        <v>36</v>
      </c>
      <c r="F41" s="5">
        <v>109.496149</v>
      </c>
      <c r="G41" s="6">
        <f t="shared" si="0"/>
        <v>0.989109572377188</v>
      </c>
      <c r="H41" s="5" t="s">
        <v>114</v>
      </c>
      <c r="I41" t="str">
        <f>_xlfn.XLOOKUP(C41,Nodes!$D:$D,Nodes!$E:$E)</f>
        <v>France</v>
      </c>
      <c r="J41" t="str">
        <f>_xlfn.XLOOKUP(E41,Nodes!$D:$D,Nodes!$E:$E)</f>
        <v>France</v>
      </c>
      <c r="K41" s="4"/>
    </row>
    <row r="42" spans="1:11">
      <c r="A42">
        <v>41</v>
      </c>
      <c r="B42" s="5" cm="1">
        <f t="array" ref="B42">INDEX(Nodes!$A:$A,MATCH(C42,Nodes!$D:$D,0))</f>
        <v>27</v>
      </c>
      <c r="C42" s="5" t="s">
        <v>38</v>
      </c>
      <c r="D42" s="5" cm="1">
        <f t="array" ref="D42">INDEX(Nodes!$A:$A,MATCH(E42,Nodes!$D:$D,0))</f>
        <v>28</v>
      </c>
      <c r="E42" s="5" t="s">
        <v>39</v>
      </c>
      <c r="F42" s="5">
        <v>148.708812</v>
      </c>
      <c r="G42" s="6">
        <f t="shared" si="0"/>
        <v>0.98523841166937</v>
      </c>
      <c r="H42" s="5" t="s">
        <v>114</v>
      </c>
      <c r="I42" t="str">
        <f>_xlfn.XLOOKUP(C42,Nodes!$D:$D,Nodes!$E:$E)</f>
        <v>France</v>
      </c>
      <c r="J42" t="str">
        <f>_xlfn.XLOOKUP(E42,Nodes!$D:$D,Nodes!$E:$E)</f>
        <v>France</v>
      </c>
      <c r="K42" s="4"/>
    </row>
    <row r="43" spans="1:11">
      <c r="A43">
        <v>42</v>
      </c>
      <c r="B43" s="5" cm="1">
        <f t="array" ref="B43">INDEX(Nodes!$A:$A,MATCH(C43,Nodes!$D:$D,0))</f>
        <v>27</v>
      </c>
      <c r="C43" s="5" t="s">
        <v>38</v>
      </c>
      <c r="D43" s="5" cm="1">
        <f t="array" ref="D43">INDEX(Nodes!$A:$A,MATCH(E43,Nodes!$D:$D,0))</f>
        <v>29</v>
      </c>
      <c r="E43" s="5" t="s">
        <v>40</v>
      </c>
      <c r="F43" s="5">
        <v>338.073964</v>
      </c>
      <c r="G43" s="6">
        <f t="shared" si="0"/>
        <v>0.966756053432561</v>
      </c>
      <c r="H43" s="5" t="s">
        <v>114</v>
      </c>
      <c r="I43" t="str">
        <f>_xlfn.XLOOKUP(C43,Nodes!$D:$D,Nodes!$E:$E)</f>
        <v>France</v>
      </c>
      <c r="J43" t="str">
        <f>_xlfn.XLOOKUP(E43,Nodes!$D:$D,Nodes!$E:$E)</f>
        <v>France</v>
      </c>
      <c r="K43" s="4"/>
    </row>
    <row r="44" spans="1:11">
      <c r="A44">
        <v>43</v>
      </c>
      <c r="B44" s="5" cm="1">
        <f t="array" ref="B44">INDEX(Nodes!$A:$A,MATCH(C44,Nodes!$D:$D,0))</f>
        <v>27</v>
      </c>
      <c r="C44" s="5" t="s">
        <v>38</v>
      </c>
      <c r="D44" s="5" cm="1">
        <f t="array" ref="D44">INDEX(Nodes!$A:$A,MATCH(E44,Nodes!$D:$D,0))</f>
        <v>30</v>
      </c>
      <c r="E44" s="5" t="s">
        <v>41</v>
      </c>
      <c r="F44" s="5">
        <v>188.098188</v>
      </c>
      <c r="G44" s="6">
        <f t="shared" si="0"/>
        <v>0.981365058829627</v>
      </c>
      <c r="H44" s="5" t="s">
        <v>114</v>
      </c>
      <c r="I44" t="str">
        <f>_xlfn.XLOOKUP(C44,Nodes!$D:$D,Nodes!$E:$E)</f>
        <v>France</v>
      </c>
      <c r="J44" t="str">
        <f>_xlfn.XLOOKUP(E44,Nodes!$D:$D,Nodes!$E:$E)</f>
        <v>France</v>
      </c>
      <c r="K44" s="4"/>
    </row>
    <row r="45" spans="1:11">
      <c r="A45">
        <v>44</v>
      </c>
      <c r="B45" s="5" cm="1">
        <f t="array" ref="B45">INDEX(Nodes!$A:$A,MATCH(C45,Nodes!$D:$D,0))</f>
        <v>27</v>
      </c>
      <c r="C45" s="5" t="s">
        <v>38</v>
      </c>
      <c r="D45" s="5" cm="1">
        <f t="array" ref="D45">INDEX(Nodes!$A:$A,MATCH(E45,Nodes!$D:$D,0))</f>
        <v>31</v>
      </c>
      <c r="E45" s="5" t="s">
        <v>42</v>
      </c>
      <c r="F45" s="5">
        <v>354.70001</v>
      </c>
      <c r="G45" s="6">
        <f t="shared" si="0"/>
        <v>0.96514997557202</v>
      </c>
      <c r="H45" s="5" t="s">
        <v>114</v>
      </c>
      <c r="I45" t="str">
        <f>_xlfn.XLOOKUP(C45,Nodes!$D:$D,Nodes!$E:$E)</f>
        <v>France</v>
      </c>
      <c r="J45" t="str">
        <f>_xlfn.XLOOKUP(E45,Nodes!$D:$D,Nodes!$E:$E)</f>
        <v>France</v>
      </c>
      <c r="K45" s="4"/>
    </row>
    <row r="46" spans="1:11">
      <c r="A46">
        <v>45</v>
      </c>
      <c r="B46" s="5" cm="1">
        <f t="array" ref="B46">INDEX(Nodes!$A:$A,MATCH(C46,Nodes!$D:$D,0))</f>
        <v>27</v>
      </c>
      <c r="C46" s="5" t="s">
        <v>38</v>
      </c>
      <c r="D46" s="5" cm="1">
        <f t="array" ref="D46">INDEX(Nodes!$A:$A,MATCH(E46,Nodes!$D:$D,0))</f>
        <v>32</v>
      </c>
      <c r="E46" s="5" t="s">
        <v>43</v>
      </c>
      <c r="F46" s="5">
        <v>178.843593</v>
      </c>
      <c r="G46" s="6">
        <f t="shared" si="0"/>
        <v>0.98227373828918</v>
      </c>
      <c r="H46" s="5" t="s">
        <v>114</v>
      </c>
      <c r="I46" t="str">
        <f>_xlfn.XLOOKUP(C46,Nodes!$D:$D,Nodes!$E:$E)</f>
        <v>France</v>
      </c>
      <c r="J46" t="str">
        <f>_xlfn.XLOOKUP(E46,Nodes!$D:$D,Nodes!$E:$E)</f>
        <v>France</v>
      </c>
      <c r="K46" s="4"/>
    </row>
    <row r="47" spans="1:11">
      <c r="A47">
        <v>46</v>
      </c>
      <c r="B47" s="5" cm="1">
        <f t="array" ref="B47">INDEX(Nodes!$A:$A,MATCH(C47,Nodes!$D:$D,0))</f>
        <v>28</v>
      </c>
      <c r="C47" s="5" t="s">
        <v>39</v>
      </c>
      <c r="D47" s="5" cm="1">
        <f t="array" ref="D47">INDEX(Nodes!$A:$A,MATCH(E47,Nodes!$D:$D,0))</f>
        <v>24</v>
      </c>
      <c r="E47" s="5" t="s">
        <v>35</v>
      </c>
      <c r="F47" s="5">
        <v>645.889137</v>
      </c>
      <c r="G47" s="6">
        <f t="shared" si="0"/>
        <v>0.937449730513337</v>
      </c>
      <c r="H47" s="5" t="s">
        <v>114</v>
      </c>
      <c r="I47" t="str">
        <f>_xlfn.XLOOKUP(C47,Nodes!$D:$D,Nodes!$E:$E)</f>
        <v>France</v>
      </c>
      <c r="J47" t="str">
        <f>_xlfn.XLOOKUP(E47,Nodes!$D:$D,Nodes!$E:$E)</f>
        <v>France</v>
      </c>
      <c r="K47" s="4"/>
    </row>
    <row r="48" spans="1:11">
      <c r="A48">
        <v>47</v>
      </c>
      <c r="B48" s="5" cm="1">
        <f t="array" ref="B48">INDEX(Nodes!$A:$A,MATCH(C48,Nodes!$D:$D,0))</f>
        <v>28</v>
      </c>
      <c r="C48" s="5" t="s">
        <v>39</v>
      </c>
      <c r="D48" s="5" cm="1">
        <f t="array" ref="D48">INDEX(Nodes!$A:$A,MATCH(E48,Nodes!$D:$D,0))</f>
        <v>25</v>
      </c>
      <c r="E48" s="5" t="s">
        <v>36</v>
      </c>
      <c r="F48" s="5">
        <v>371.072394</v>
      </c>
      <c r="G48" s="6">
        <f t="shared" si="0"/>
        <v>0.963571008945729</v>
      </c>
      <c r="H48" s="5" t="s">
        <v>114</v>
      </c>
      <c r="I48" t="str">
        <f>_xlfn.XLOOKUP(C48,Nodes!$D:$D,Nodes!$E:$E)</f>
        <v>France</v>
      </c>
      <c r="J48" t="str">
        <f>_xlfn.XLOOKUP(E48,Nodes!$D:$D,Nodes!$E:$E)</f>
        <v>France</v>
      </c>
      <c r="K48" s="4"/>
    </row>
    <row r="49" spans="1:11">
      <c r="A49">
        <v>48</v>
      </c>
      <c r="B49" s="5" cm="1">
        <f t="array" ref="B49">INDEX(Nodes!$A:$A,MATCH(C49,Nodes!$D:$D,0))</f>
        <v>28</v>
      </c>
      <c r="C49" s="5" t="s">
        <v>39</v>
      </c>
      <c r="D49" s="5" cm="1">
        <f t="array" ref="D49">INDEX(Nodes!$A:$A,MATCH(E49,Nodes!$D:$D,0))</f>
        <v>26</v>
      </c>
      <c r="E49" s="5" t="s">
        <v>37</v>
      </c>
      <c r="F49" s="5">
        <v>263.406984</v>
      </c>
      <c r="G49" s="6">
        <f t="shared" si="0"/>
        <v>0.974001908863508</v>
      </c>
      <c r="H49" s="5" t="s">
        <v>114</v>
      </c>
      <c r="I49" t="str">
        <f>_xlfn.XLOOKUP(C49,Nodes!$D:$D,Nodes!$E:$E)</f>
        <v>France</v>
      </c>
      <c r="J49" t="str">
        <f>_xlfn.XLOOKUP(E49,Nodes!$D:$D,Nodes!$E:$E)</f>
        <v>France</v>
      </c>
      <c r="K49" s="4"/>
    </row>
    <row r="50" spans="1:11">
      <c r="A50">
        <v>49</v>
      </c>
      <c r="B50" s="5" cm="1">
        <f t="array" ref="B50">INDEX(Nodes!$A:$A,MATCH(C50,Nodes!$D:$D,0))</f>
        <v>29</v>
      </c>
      <c r="C50" s="5" t="s">
        <v>40</v>
      </c>
      <c r="D50" s="5" cm="1">
        <f t="array" ref="D50">INDEX(Nodes!$A:$A,MATCH(E50,Nodes!$D:$D,0))</f>
        <v>30</v>
      </c>
      <c r="E50" s="5" t="s">
        <v>41</v>
      </c>
      <c r="F50" s="5">
        <v>185.263905</v>
      </c>
      <c r="G50" s="6">
        <f t="shared" si="0"/>
        <v>0.981643258793169</v>
      </c>
      <c r="H50" s="5" t="s">
        <v>114</v>
      </c>
      <c r="I50" t="str">
        <f>_xlfn.XLOOKUP(C50,Nodes!$D:$D,Nodes!$E:$E)</f>
        <v>France</v>
      </c>
      <c r="J50" t="str">
        <f>_xlfn.XLOOKUP(E50,Nodes!$D:$D,Nodes!$E:$E)</f>
        <v>France</v>
      </c>
      <c r="K50" s="4"/>
    </row>
    <row r="51" spans="1:11">
      <c r="A51">
        <v>50</v>
      </c>
      <c r="B51" s="5" cm="1">
        <f t="array" ref="B51">INDEX(Nodes!$A:$A,MATCH(C51,Nodes!$D:$D,0))</f>
        <v>31</v>
      </c>
      <c r="C51" s="5" t="s">
        <v>42</v>
      </c>
      <c r="D51" s="5" cm="1">
        <f t="array" ref="D51">INDEX(Nodes!$A:$A,MATCH(E51,Nodes!$D:$D,0))</f>
        <v>29</v>
      </c>
      <c r="E51" s="5" t="s">
        <v>40</v>
      </c>
      <c r="F51" s="5">
        <v>601.985096</v>
      </c>
      <c r="G51" s="6">
        <f t="shared" si="0"/>
        <v>0.941574768574681</v>
      </c>
      <c r="H51" s="5" t="s">
        <v>114</v>
      </c>
      <c r="I51" t="str">
        <f>_xlfn.XLOOKUP(C51,Nodes!$D:$D,Nodes!$E:$E)</f>
        <v>France</v>
      </c>
      <c r="J51" t="str">
        <f>_xlfn.XLOOKUP(E51,Nodes!$D:$D,Nodes!$E:$E)</f>
        <v>France</v>
      </c>
      <c r="K51" s="4"/>
    </row>
    <row r="52" spans="1:11">
      <c r="A52">
        <v>51</v>
      </c>
      <c r="B52" s="5" cm="1">
        <f t="array" ref="B52">INDEX(Nodes!$A:$A,MATCH(C52,Nodes!$D:$D,0))</f>
        <v>32</v>
      </c>
      <c r="C52" s="5" t="s">
        <v>43</v>
      </c>
      <c r="D52" s="5" cm="1">
        <f t="array" ref="D52">INDEX(Nodes!$A:$A,MATCH(E52,Nodes!$D:$D,0))</f>
        <v>18</v>
      </c>
      <c r="E52" s="5" t="s">
        <v>28</v>
      </c>
      <c r="F52" s="5">
        <v>404.875005</v>
      </c>
      <c r="G52" s="6">
        <f t="shared" si="0"/>
        <v>0.960319223793004</v>
      </c>
      <c r="H52" s="5" t="s">
        <v>114</v>
      </c>
      <c r="I52" t="str">
        <f>_xlfn.XLOOKUP(C52,Nodes!$D:$D,Nodes!$E:$E)</f>
        <v>France</v>
      </c>
      <c r="J52" t="str">
        <f>_xlfn.XLOOKUP(E52,Nodes!$D:$D,Nodes!$E:$E)</f>
        <v>France</v>
      </c>
      <c r="K52" s="4"/>
    </row>
    <row r="53" spans="1:11">
      <c r="A53">
        <v>52</v>
      </c>
      <c r="B53" s="5" cm="1">
        <f t="array" ref="B53">INDEX(Nodes!$A:$A,MATCH(C53,Nodes!$D:$D,0))</f>
        <v>32</v>
      </c>
      <c r="C53" s="5" t="s">
        <v>43</v>
      </c>
      <c r="D53" s="5" cm="1">
        <f t="array" ref="D53">INDEX(Nodes!$A:$A,MATCH(E53,Nodes!$D:$D,0))</f>
        <v>24</v>
      </c>
      <c r="E53" s="5" t="s">
        <v>35</v>
      </c>
      <c r="F53" s="5">
        <v>541.628527</v>
      </c>
      <c r="G53" s="6">
        <f t="shared" si="0"/>
        <v>0.947275261656902</v>
      </c>
      <c r="H53" s="5" t="s">
        <v>114</v>
      </c>
      <c r="I53" t="str">
        <f>_xlfn.XLOOKUP(C53,Nodes!$D:$D,Nodes!$E:$E)</f>
        <v>France</v>
      </c>
      <c r="J53" t="str">
        <f>_xlfn.XLOOKUP(E53,Nodes!$D:$D,Nodes!$E:$E)</f>
        <v>France</v>
      </c>
      <c r="K53" s="4"/>
    </row>
    <row r="54" spans="1:11">
      <c r="A54">
        <v>53</v>
      </c>
      <c r="B54" s="5" cm="1">
        <f t="array" ref="B54">INDEX(Nodes!$A:$A,MATCH(C54,Nodes!$D:$D,0))</f>
        <v>33</v>
      </c>
      <c r="C54" s="5" t="s">
        <v>44</v>
      </c>
      <c r="D54" s="5" cm="1">
        <f t="array" ref="D54">INDEX(Nodes!$A:$A,MATCH(E54,Nodes!$D:$D,0))</f>
        <v>35</v>
      </c>
      <c r="E54" s="5" t="s">
        <v>46</v>
      </c>
      <c r="F54" s="7">
        <v>757.055580971332</v>
      </c>
      <c r="G54" s="6">
        <f t="shared" si="0"/>
        <v>0.927085630749079</v>
      </c>
      <c r="H54" s="5" t="s">
        <v>114</v>
      </c>
      <c r="I54" t="str">
        <f>_xlfn.XLOOKUP(C54,Nodes!$D:$D,Nodes!$E:$E)</f>
        <v>France</v>
      </c>
      <c r="J54" t="str">
        <f>_xlfn.XLOOKUP(E54,Nodes!$D:$D,Nodes!$E:$E)</f>
        <v>France</v>
      </c>
      <c r="K54" s="4"/>
    </row>
    <row r="55" spans="1:11">
      <c r="A55">
        <v>54</v>
      </c>
      <c r="B55" s="5" cm="1">
        <f t="array" ref="B55">INDEX(Nodes!$A:$A,MATCH(C55,Nodes!$D:$D,0))</f>
        <v>33</v>
      </c>
      <c r="C55" s="5" t="s">
        <v>44</v>
      </c>
      <c r="D55" s="5" cm="1">
        <f t="array" ref="D55">INDEX(Nodes!$A:$A,MATCH(E55,Nodes!$D:$D,0))</f>
        <v>20</v>
      </c>
      <c r="E55" s="5" t="s">
        <v>31</v>
      </c>
      <c r="F55" s="7">
        <v>747.501711621339</v>
      </c>
      <c r="G55" s="6">
        <f t="shared" si="0"/>
        <v>0.927971823819945</v>
      </c>
      <c r="H55" s="5" t="s">
        <v>114</v>
      </c>
      <c r="I55" t="str">
        <f>_xlfn.XLOOKUP(C55,Nodes!$D:$D,Nodes!$E:$E)</f>
        <v>France</v>
      </c>
      <c r="J55" t="str">
        <f>_xlfn.XLOOKUP(E55,Nodes!$D:$D,Nodes!$E:$E)</f>
        <v>France</v>
      </c>
      <c r="K55" s="4"/>
    </row>
    <row r="56" spans="1:11">
      <c r="A56">
        <v>55</v>
      </c>
      <c r="B56" s="5" cm="1">
        <f t="array" ref="B56">INDEX(Nodes!$A:$A,MATCH(C56,Nodes!$D:$D,0))</f>
        <v>34</v>
      </c>
      <c r="C56" s="5" t="s">
        <v>45</v>
      </c>
      <c r="D56" s="5" cm="1">
        <f t="array" ref="D56">INDEX(Nodes!$A:$A,MATCH(E56,Nodes!$D:$D,0))</f>
        <v>35</v>
      </c>
      <c r="E56" s="5" t="s">
        <v>46</v>
      </c>
      <c r="F56" s="7">
        <v>410.35948357377</v>
      </c>
      <c r="G56" s="6">
        <f t="shared" si="0"/>
        <v>0.959792656853986</v>
      </c>
      <c r="H56" s="5" t="s">
        <v>114</v>
      </c>
      <c r="I56" t="str">
        <f>_xlfn.XLOOKUP(C56,Nodes!$D:$D,Nodes!$E:$E)</f>
        <v>France</v>
      </c>
      <c r="J56" t="str">
        <f>_xlfn.XLOOKUP(E56,Nodes!$D:$D,Nodes!$E:$E)</f>
        <v>France</v>
      </c>
      <c r="K56" s="4"/>
    </row>
    <row r="57" spans="1:11">
      <c r="A57">
        <v>56</v>
      </c>
      <c r="B57" s="5" cm="1">
        <f t="array" ref="B57">INDEX(Nodes!$A:$A,MATCH(C57,Nodes!$D:$D,0))</f>
        <v>34</v>
      </c>
      <c r="C57" s="5" t="s">
        <v>45</v>
      </c>
      <c r="D57" s="5" cm="1">
        <f t="array" ref="D57">INDEX(Nodes!$A:$A,MATCH(E57,Nodes!$D:$D,0))</f>
        <v>20</v>
      </c>
      <c r="E57" s="5" t="s">
        <v>31</v>
      </c>
      <c r="F57" s="7">
        <v>595.111822179412</v>
      </c>
      <c r="G57" s="6">
        <f t="shared" si="0"/>
        <v>0.94222219353813</v>
      </c>
      <c r="H57" s="5" t="s">
        <v>114</v>
      </c>
      <c r="I57" t="str">
        <f>_xlfn.XLOOKUP(C57,Nodes!$D:$D,Nodes!$E:$E)</f>
        <v>France</v>
      </c>
      <c r="J57" t="str">
        <f>_xlfn.XLOOKUP(E57,Nodes!$D:$D,Nodes!$E:$E)</f>
        <v>France</v>
      </c>
      <c r="K57" s="4"/>
    </row>
    <row r="58" spans="1:11">
      <c r="A58">
        <v>57</v>
      </c>
      <c r="B58" s="5" cm="1">
        <f t="array" ref="B58">INDEX(Nodes!$A:$A,MATCH(C58,Nodes!$D:$D,0))</f>
        <v>34</v>
      </c>
      <c r="C58" s="5" t="s">
        <v>45</v>
      </c>
      <c r="D58" s="5" cm="1">
        <f t="array" ref="D58">INDEX(Nodes!$A:$A,MATCH(E58,Nodes!$D:$D,0))</f>
        <v>27</v>
      </c>
      <c r="E58" s="5" t="s">
        <v>38</v>
      </c>
      <c r="F58" s="5">
        <v>276.920242</v>
      </c>
      <c r="G58" s="6">
        <f t="shared" si="0"/>
        <v>0.972686538132556</v>
      </c>
      <c r="H58" s="5" t="s">
        <v>114</v>
      </c>
      <c r="I58" t="str">
        <f>_xlfn.XLOOKUP(C58,Nodes!$D:$D,Nodes!$E:$E)</f>
        <v>France</v>
      </c>
      <c r="J58" t="str">
        <f>_xlfn.XLOOKUP(E58,Nodes!$D:$D,Nodes!$E:$E)</f>
        <v>France</v>
      </c>
      <c r="K58" s="4"/>
    </row>
    <row r="59" spans="1:11">
      <c r="A59">
        <v>58</v>
      </c>
      <c r="B59" s="5" cm="1">
        <f t="array" ref="B59">INDEX(Nodes!$A:$A,MATCH(C59,Nodes!$D:$D,0))</f>
        <v>20</v>
      </c>
      <c r="C59" s="5" t="s">
        <v>31</v>
      </c>
      <c r="D59" s="5" cm="1">
        <f t="array" ref="D59">INDEX(Nodes!$A:$A,MATCH(E59,Nodes!$D:$D,0))</f>
        <v>24</v>
      </c>
      <c r="E59" s="5" t="s">
        <v>35</v>
      </c>
      <c r="F59" s="7">
        <v>600.37691157053</v>
      </c>
      <c r="G59" s="6">
        <f t="shared" si="0"/>
        <v>0.941726210912159</v>
      </c>
      <c r="H59" s="5" t="s">
        <v>114</v>
      </c>
      <c r="I59" t="str">
        <f>_xlfn.XLOOKUP(C59,Nodes!$D:$D,Nodes!$E:$E)</f>
        <v>France</v>
      </c>
      <c r="J59" t="str">
        <f>_xlfn.XLOOKUP(E59,Nodes!$D:$D,Nodes!$E:$E)</f>
        <v>France</v>
      </c>
      <c r="K59" s="4"/>
    </row>
    <row r="60" spans="1:11">
      <c r="A60">
        <v>59</v>
      </c>
      <c r="B60" s="8" cm="1">
        <f t="array" ref="B60">INDEX(Nodes!$A:$A,MATCH(C60,Nodes!$D:$D,0))</f>
        <v>36</v>
      </c>
      <c r="C60" s="8" t="s">
        <v>47</v>
      </c>
      <c r="D60" s="8" cm="1">
        <f t="array" ref="D60">INDEX(Nodes!$A:$A,MATCH(E60,Nodes!$D:$D,0))</f>
        <v>37</v>
      </c>
      <c r="E60" s="8" t="s">
        <v>49</v>
      </c>
      <c r="F60" s="8">
        <v>189.093468</v>
      </c>
      <c r="G60" s="9">
        <f t="shared" ref="G60:G78" si="1">(0.9999)^F60</f>
        <v>0.981267385505</v>
      </c>
      <c r="H60" s="8" t="s">
        <v>114</v>
      </c>
      <c r="I60" t="str">
        <f>_xlfn.XLOOKUP(C60,Nodes!$D:$D,Nodes!$E:$E)</f>
        <v>Italy</v>
      </c>
      <c r="J60" t="str">
        <f>_xlfn.XLOOKUP(E60,Nodes!$D:$D,Nodes!$E:$E)</f>
        <v>Italy</v>
      </c>
      <c r="K60" s="4"/>
    </row>
    <row r="61" spans="1:11">
      <c r="A61">
        <v>60</v>
      </c>
      <c r="B61" s="8" cm="1">
        <f t="array" ref="B61">INDEX(Nodes!$A:$A,MATCH(C61,Nodes!$D:$D,0))</f>
        <v>36</v>
      </c>
      <c r="C61" s="8" t="s">
        <v>47</v>
      </c>
      <c r="D61" s="8" cm="1">
        <f t="array" ref="D61">INDEX(Nodes!$A:$A,MATCH(E61,Nodes!$D:$D,0))</f>
        <v>38</v>
      </c>
      <c r="E61" s="8" t="s">
        <v>50</v>
      </c>
      <c r="F61" s="8">
        <v>179.315668</v>
      </c>
      <c r="G61" s="9">
        <f t="shared" si="1"/>
        <v>0.982227366377605</v>
      </c>
      <c r="H61" s="8" t="s">
        <v>114</v>
      </c>
      <c r="I61" t="str">
        <f>_xlfn.XLOOKUP(C61,Nodes!$D:$D,Nodes!$E:$E)</f>
        <v>Italy</v>
      </c>
      <c r="J61" t="str">
        <f>_xlfn.XLOOKUP(E61,Nodes!$D:$D,Nodes!$E:$E)</f>
        <v>Italy</v>
      </c>
      <c r="K61" s="4"/>
    </row>
    <row r="62" spans="1:11">
      <c r="A62">
        <v>61</v>
      </c>
      <c r="B62" s="8" cm="1">
        <f t="array" ref="B62">INDEX(Nodes!$A:$A,MATCH(C62,Nodes!$D:$D,0))</f>
        <v>37</v>
      </c>
      <c r="C62" s="8" t="s">
        <v>49</v>
      </c>
      <c r="D62" s="8" cm="1">
        <f t="array" ref="D62">INDEX(Nodes!$A:$A,MATCH(E62,Nodes!$D:$D,0))</f>
        <v>38</v>
      </c>
      <c r="E62" s="8" t="s">
        <v>50</v>
      </c>
      <c r="F62" s="8">
        <v>186.463411</v>
      </c>
      <c r="G62" s="9">
        <f t="shared" si="1"/>
        <v>0.981525511269901</v>
      </c>
      <c r="H62" s="8" t="s">
        <v>114</v>
      </c>
      <c r="I62" t="str">
        <f>_xlfn.XLOOKUP(C62,Nodes!$D:$D,Nodes!$E:$E)</f>
        <v>Italy</v>
      </c>
      <c r="J62" t="str">
        <f>_xlfn.XLOOKUP(E62,Nodes!$D:$D,Nodes!$E:$E)</f>
        <v>Italy</v>
      </c>
      <c r="K62" s="4"/>
    </row>
    <row r="63" spans="1:11">
      <c r="A63">
        <v>62</v>
      </c>
      <c r="B63" s="8" cm="1">
        <f t="array" ref="B63">INDEX(Nodes!$A:$A,MATCH(C63,Nodes!$D:$D,0))</f>
        <v>38</v>
      </c>
      <c r="C63" s="8" t="s">
        <v>50</v>
      </c>
      <c r="D63" s="8" cm="1">
        <f t="array" ref="D63">INDEX(Nodes!$A:$A,MATCH(E63,Nodes!$D:$D,0))</f>
        <v>39</v>
      </c>
      <c r="E63" s="8" t="s">
        <v>51</v>
      </c>
      <c r="F63" s="8">
        <v>287.159495</v>
      </c>
      <c r="G63" s="9">
        <f t="shared" si="1"/>
        <v>0.971691039746415</v>
      </c>
      <c r="H63" s="8" t="s">
        <v>114</v>
      </c>
      <c r="I63" t="str">
        <f>_xlfn.XLOOKUP(C63,Nodes!$D:$D,Nodes!$E:$E)</f>
        <v>Italy</v>
      </c>
      <c r="J63" t="str">
        <f>_xlfn.XLOOKUP(E63,Nodes!$D:$D,Nodes!$E:$E)</f>
        <v>Italy</v>
      </c>
      <c r="K63" s="4"/>
    </row>
    <row r="64" spans="1:11">
      <c r="A64">
        <v>63</v>
      </c>
      <c r="B64" s="8" cm="1">
        <f t="array" ref="B64">INDEX(Nodes!$A:$A,MATCH(C64,Nodes!$D:$D,0))</f>
        <v>38</v>
      </c>
      <c r="C64" s="8" t="s">
        <v>50</v>
      </c>
      <c r="D64" s="8" cm="1">
        <f t="array" ref="D64">INDEX(Nodes!$A:$A,MATCH(E64,Nodes!$D:$D,0))</f>
        <v>40</v>
      </c>
      <c r="E64" s="8" t="s">
        <v>52</v>
      </c>
      <c r="F64" s="8">
        <v>297.488338</v>
      </c>
      <c r="G64" s="9">
        <f t="shared" si="1"/>
        <v>0.970687863339126</v>
      </c>
      <c r="H64" s="8" t="s">
        <v>114</v>
      </c>
      <c r="I64" t="str">
        <f>_xlfn.XLOOKUP(C64,Nodes!$D:$D,Nodes!$E:$E)</f>
        <v>Italy</v>
      </c>
      <c r="J64" t="str">
        <f>_xlfn.XLOOKUP(E64,Nodes!$D:$D,Nodes!$E:$E)</f>
        <v>Italy</v>
      </c>
      <c r="K64" s="4"/>
    </row>
    <row r="65" spans="1:11">
      <c r="A65">
        <v>64</v>
      </c>
      <c r="B65" s="8" cm="1">
        <f t="array" ref="B65">INDEX(Nodes!$A:$A,MATCH(C65,Nodes!$D:$D,0))</f>
        <v>39</v>
      </c>
      <c r="C65" s="8" t="s">
        <v>51</v>
      </c>
      <c r="D65" s="8" cm="1">
        <f t="array" ref="D65">INDEX(Nodes!$A:$A,MATCH(E65,Nodes!$D:$D,0))</f>
        <v>40</v>
      </c>
      <c r="E65" s="8" t="s">
        <v>52</v>
      </c>
      <c r="F65" s="8">
        <v>120.973509</v>
      </c>
      <c r="G65" s="9">
        <f t="shared" si="1"/>
        <v>0.98797493023935</v>
      </c>
      <c r="H65" s="8" t="s">
        <v>114</v>
      </c>
      <c r="I65" t="str">
        <f>_xlfn.XLOOKUP(C65,Nodes!$D:$D,Nodes!$E:$E)</f>
        <v>Italy</v>
      </c>
      <c r="J65" t="str">
        <f>_xlfn.XLOOKUP(E65,Nodes!$D:$D,Nodes!$E:$E)</f>
        <v>Italy</v>
      </c>
      <c r="K65" s="4"/>
    </row>
    <row r="66" spans="1:11">
      <c r="A66">
        <v>65</v>
      </c>
      <c r="B66" s="8" cm="1">
        <f t="array" ref="B66">INDEX(Nodes!$A:$A,MATCH(C66,Nodes!$D:$D,0))</f>
        <v>36</v>
      </c>
      <c r="C66" s="8" t="s">
        <v>47</v>
      </c>
      <c r="D66" s="8" cm="1">
        <f t="array" ref="D66">INDEX(Nodes!$A:$A,MATCH(E66,Nodes!$D:$D,0))</f>
        <v>41</v>
      </c>
      <c r="E66" s="8" t="s">
        <v>53</v>
      </c>
      <c r="F66" s="8">
        <v>720.902637</v>
      </c>
      <c r="G66" s="9">
        <f t="shared" si="1"/>
        <v>0.930443552414545</v>
      </c>
      <c r="H66" s="8" t="s">
        <v>114</v>
      </c>
      <c r="I66" t="str">
        <f>_xlfn.XLOOKUP(C66,Nodes!$D:$D,Nodes!$E:$E)</f>
        <v>Italy</v>
      </c>
      <c r="J66" t="str">
        <f>_xlfn.XLOOKUP(E66,Nodes!$D:$D,Nodes!$E:$E)</f>
        <v>Italy</v>
      </c>
      <c r="K66" s="4"/>
    </row>
    <row r="67" spans="1:11">
      <c r="A67">
        <v>66</v>
      </c>
      <c r="B67" s="8" cm="1">
        <f t="array" ref="B67">INDEX(Nodes!$A:$A,MATCH(C67,Nodes!$D:$D,0))</f>
        <v>40</v>
      </c>
      <c r="C67" s="8" t="s">
        <v>52</v>
      </c>
      <c r="D67" s="8" cm="1">
        <f t="array" ref="D67">INDEX(Nodes!$A:$A,MATCH(E67,Nodes!$D:$D,0))</f>
        <v>41</v>
      </c>
      <c r="E67" s="8" t="s">
        <v>53</v>
      </c>
      <c r="F67" s="8">
        <v>347.4543</v>
      </c>
      <c r="G67" s="9">
        <f t="shared" si="1"/>
        <v>0.965849583663215</v>
      </c>
      <c r="H67" s="8" t="s">
        <v>114</v>
      </c>
      <c r="I67" t="str">
        <f>_xlfn.XLOOKUP(C67,Nodes!$D:$D,Nodes!$E:$E)</f>
        <v>Italy</v>
      </c>
      <c r="J67" t="str">
        <f>_xlfn.XLOOKUP(E67,Nodes!$D:$D,Nodes!$E:$E)</f>
        <v>Italy</v>
      </c>
      <c r="K67" s="4"/>
    </row>
    <row r="68" spans="1:11">
      <c r="A68">
        <v>67</v>
      </c>
      <c r="B68" s="8" cm="1">
        <f t="array" ref="B68">INDEX(Nodes!$A:$A,MATCH(C68,Nodes!$D:$D,0))</f>
        <v>43</v>
      </c>
      <c r="C68" s="8" t="s">
        <v>55</v>
      </c>
      <c r="D68" s="8" cm="1">
        <f t="array" ref="D68">INDEX(Nodes!$A:$A,MATCH(E68,Nodes!$D:$D,0))</f>
        <v>41</v>
      </c>
      <c r="E68" s="8" t="s">
        <v>53</v>
      </c>
      <c r="F68" s="8">
        <v>636.463315</v>
      </c>
      <c r="G68" s="9">
        <f t="shared" si="1"/>
        <v>0.938333814743232</v>
      </c>
      <c r="H68" s="8" t="s">
        <v>114</v>
      </c>
      <c r="I68" t="str">
        <f>_xlfn.XLOOKUP(C68,Nodes!$D:$D,Nodes!$E:$E)</f>
        <v>Italy</v>
      </c>
      <c r="J68" t="str">
        <f>_xlfn.XLOOKUP(E68,Nodes!$D:$D,Nodes!$E:$E)</f>
        <v>Italy</v>
      </c>
      <c r="K68" s="4"/>
    </row>
    <row r="69" spans="1:11">
      <c r="A69">
        <v>68</v>
      </c>
      <c r="B69" s="8" cm="1">
        <f t="array" ref="B69">INDEX(Nodes!$A:$A,MATCH(C69,Nodes!$D:$D,0))</f>
        <v>41</v>
      </c>
      <c r="C69" s="8" t="s">
        <v>53</v>
      </c>
      <c r="D69" s="8" cm="1">
        <f t="array" ref="D69">INDEX(Nodes!$A:$A,MATCH(E69,Nodes!$D:$D,0))</f>
        <v>42</v>
      </c>
      <c r="E69" s="8" t="s">
        <v>54</v>
      </c>
      <c r="F69" s="8">
        <v>283.161788</v>
      </c>
      <c r="G69" s="9">
        <f t="shared" si="1"/>
        <v>0.972079590441833</v>
      </c>
      <c r="H69" s="8" t="s">
        <v>114</v>
      </c>
      <c r="I69" t="str">
        <f>_xlfn.XLOOKUP(C69,Nodes!$D:$D,Nodes!$E:$E)</f>
        <v>Italy</v>
      </c>
      <c r="J69" t="str">
        <f>_xlfn.XLOOKUP(E69,Nodes!$D:$D,Nodes!$E:$E)</f>
        <v>Italy</v>
      </c>
      <c r="K69" s="4"/>
    </row>
    <row r="70" spans="1:11">
      <c r="A70">
        <v>69</v>
      </c>
      <c r="B70" s="8" cm="1">
        <f t="array" ref="B70">INDEX(Nodes!$A:$A,MATCH(C70,Nodes!$D:$D,0))</f>
        <v>42</v>
      </c>
      <c r="C70" s="8" t="s">
        <v>54</v>
      </c>
      <c r="D70" s="8" cm="1">
        <f t="array" ref="D70">INDEX(Nodes!$A:$A,MATCH(E70,Nodes!$D:$D,0))</f>
        <v>43</v>
      </c>
      <c r="E70" s="8" t="s">
        <v>55</v>
      </c>
      <c r="F70" s="8">
        <v>467.485716</v>
      </c>
      <c r="G70" s="9">
        <f t="shared" si="1"/>
        <v>0.954325081599599</v>
      </c>
      <c r="H70" s="8" t="s">
        <v>114</v>
      </c>
      <c r="I70" t="str">
        <f>_xlfn.XLOOKUP(C70,Nodes!$D:$D,Nodes!$E:$E)</f>
        <v>Italy</v>
      </c>
      <c r="J70" t="str">
        <f>_xlfn.XLOOKUP(E70,Nodes!$D:$D,Nodes!$E:$E)</f>
        <v>Italy</v>
      </c>
      <c r="K70" s="4"/>
    </row>
    <row r="71" spans="1:11">
      <c r="A71">
        <v>70</v>
      </c>
      <c r="B71" s="1" cm="1">
        <f t="array" ref="B71">INDEX(Nodes!$A:$A,MATCH(C71,Nodes!$D:$D,0))</f>
        <v>44</v>
      </c>
      <c r="C71" s="1" t="s">
        <v>56</v>
      </c>
      <c r="D71" s="1" cm="1">
        <f t="array" ref="D71">INDEX(Nodes!$A:$A,MATCH(E71,Nodes!$D:$D,0))</f>
        <v>49</v>
      </c>
      <c r="E71" s="1" t="s">
        <v>62</v>
      </c>
      <c r="F71" s="1">
        <v>36.170949</v>
      </c>
      <c r="G71" s="10">
        <f t="shared" si="1"/>
        <v>0.996389258693828</v>
      </c>
      <c r="H71" s="1" t="s">
        <v>114</v>
      </c>
      <c r="I71" t="str">
        <f>_xlfn.XLOOKUP(C71,Nodes!$D:$D,Nodes!$E:$E)</f>
        <v>Netherlands</v>
      </c>
      <c r="J71" t="str">
        <f>_xlfn.XLOOKUP(E71,Nodes!$D:$D,Nodes!$E:$E)</f>
        <v>Netherlands</v>
      </c>
      <c r="K71" s="4"/>
    </row>
    <row r="72" spans="1:11">
      <c r="A72">
        <v>71</v>
      </c>
      <c r="B72" s="1" cm="1">
        <f t="array" ref="B72">INDEX(Nodes!$A:$A,MATCH(C72,Nodes!$D:$D,0))</f>
        <v>44</v>
      </c>
      <c r="C72" s="1" t="s">
        <v>56</v>
      </c>
      <c r="D72" s="1" cm="1">
        <f t="array" ref="D72">INDEX(Nodes!$A:$A,MATCH(E72,Nodes!$D:$D,0))</f>
        <v>45</v>
      </c>
      <c r="E72" s="1" t="s">
        <v>58</v>
      </c>
      <c r="F72" s="1">
        <v>54.300799</v>
      </c>
      <c r="G72" s="10">
        <f t="shared" si="1"/>
        <v>0.994584366283365</v>
      </c>
      <c r="H72" s="1" t="s">
        <v>114</v>
      </c>
      <c r="I72" t="str">
        <f>_xlfn.XLOOKUP(C72,Nodes!$D:$D,Nodes!$E:$E)</f>
        <v>Netherlands</v>
      </c>
      <c r="J72" t="str">
        <f>_xlfn.XLOOKUP(E72,Nodes!$D:$D,Nodes!$E:$E)</f>
        <v>Netherlands</v>
      </c>
      <c r="K72" s="4"/>
    </row>
    <row r="73" spans="1:11">
      <c r="A73">
        <v>72</v>
      </c>
      <c r="B73" s="1" cm="1">
        <f t="array" ref="B73">INDEX(Nodes!$A:$A,MATCH(C73,Nodes!$D:$D,0))</f>
        <v>44</v>
      </c>
      <c r="C73" s="1" t="s">
        <v>56</v>
      </c>
      <c r="D73" s="1" cm="1">
        <f t="array" ref="D73">INDEX(Nodes!$A:$A,MATCH(E73,Nodes!$D:$D,0))</f>
        <v>49</v>
      </c>
      <c r="E73" s="1" t="s">
        <v>62</v>
      </c>
      <c r="F73" s="1">
        <v>34.092647</v>
      </c>
      <c r="G73" s="10">
        <f t="shared" si="1"/>
        <v>0.996596370349778</v>
      </c>
      <c r="H73" s="1" t="s">
        <v>114</v>
      </c>
      <c r="I73" t="str">
        <f>_xlfn.XLOOKUP(C73,Nodes!$D:$D,Nodes!$E:$E)</f>
        <v>Netherlands</v>
      </c>
      <c r="J73" t="str">
        <f>_xlfn.XLOOKUP(E73,Nodes!$D:$D,Nodes!$E:$E)</f>
        <v>Netherlands</v>
      </c>
      <c r="K73" s="4"/>
    </row>
    <row r="74" spans="1:11">
      <c r="A74">
        <v>73</v>
      </c>
      <c r="B74" s="1" cm="1">
        <f t="array" ref="B74">INDEX(Nodes!$A:$A,MATCH(C74,Nodes!$D:$D,0))</f>
        <v>47</v>
      </c>
      <c r="C74" s="1" t="s">
        <v>60</v>
      </c>
      <c r="D74" s="1" cm="1">
        <f t="array" ref="D74">INDEX(Nodes!$A:$A,MATCH(E74,Nodes!$D:$D,0))</f>
        <v>45</v>
      </c>
      <c r="E74" s="1" t="s">
        <v>58</v>
      </c>
      <c r="F74" s="1">
        <v>18.932821</v>
      </c>
      <c r="G74" s="10">
        <f t="shared" si="1"/>
        <v>0.998108414536663</v>
      </c>
      <c r="H74" s="1" t="s">
        <v>114</v>
      </c>
      <c r="I74" t="str">
        <f>_xlfn.XLOOKUP(C74,Nodes!$D:$D,Nodes!$E:$E)</f>
        <v>Netherlands</v>
      </c>
      <c r="J74" t="str">
        <f>_xlfn.XLOOKUP(E74,Nodes!$D:$D,Nodes!$E:$E)</f>
        <v>Netherlands</v>
      </c>
      <c r="K74" s="4"/>
    </row>
    <row r="75" spans="1:11">
      <c r="A75">
        <v>74</v>
      </c>
      <c r="B75" s="1" cm="1">
        <f t="array" ref="B75">INDEX(Nodes!$A:$A,MATCH(C75,Nodes!$D:$D,0))</f>
        <v>45</v>
      </c>
      <c r="C75" s="1" t="s">
        <v>58</v>
      </c>
      <c r="D75" s="1" cm="1">
        <f t="array" ref="D75">INDEX(Nodes!$A:$A,MATCH(E75,Nodes!$D:$D,0))</f>
        <v>49</v>
      </c>
      <c r="E75" s="1" t="s">
        <v>62</v>
      </c>
      <c r="F75" s="1">
        <v>53.042613</v>
      </c>
      <c r="G75" s="10">
        <f t="shared" si="1"/>
        <v>0.994709517626603</v>
      </c>
      <c r="H75" s="1" t="s">
        <v>114</v>
      </c>
      <c r="I75" t="str">
        <f>_xlfn.XLOOKUP(C75,Nodes!$D:$D,Nodes!$E:$E)</f>
        <v>Netherlands</v>
      </c>
      <c r="J75" t="str">
        <f>_xlfn.XLOOKUP(E75,Nodes!$D:$D,Nodes!$E:$E)</f>
        <v>Netherlands</v>
      </c>
      <c r="K75" s="4"/>
    </row>
    <row r="76" spans="1:11">
      <c r="A76">
        <v>75</v>
      </c>
      <c r="B76" s="1" cm="1">
        <f t="array" ref="B76">INDEX(Nodes!$A:$A,MATCH(C76,Nodes!$D:$D,0))</f>
        <v>45</v>
      </c>
      <c r="C76" s="1" t="s">
        <v>58</v>
      </c>
      <c r="D76" s="1" cm="1">
        <f t="array" ref="D76">INDEX(Nodes!$A:$A,MATCH(E76,Nodes!$D:$D,0))</f>
        <v>48</v>
      </c>
      <c r="E76" s="1" t="s">
        <v>61</v>
      </c>
      <c r="F76" s="1">
        <v>12.784298</v>
      </c>
      <c r="G76" s="10">
        <f t="shared" si="1"/>
        <v>0.99872232319917</v>
      </c>
      <c r="H76" s="1" t="s">
        <v>114</v>
      </c>
      <c r="I76" t="str">
        <f>_xlfn.XLOOKUP(C76,Nodes!$D:$D,Nodes!$E:$E)</f>
        <v>Netherlands</v>
      </c>
      <c r="J76" t="str">
        <f>_xlfn.XLOOKUP(E76,Nodes!$D:$D,Nodes!$E:$E)</f>
        <v>Netherlands</v>
      </c>
      <c r="K76" s="4"/>
    </row>
    <row r="77" spans="1:11">
      <c r="A77">
        <v>76</v>
      </c>
      <c r="B77" s="1" cm="1">
        <f t="array" ref="B77">INDEX(Nodes!$A:$A,MATCH(C77,Nodes!$D:$D,0))</f>
        <v>48</v>
      </c>
      <c r="C77" s="1" t="s">
        <v>61</v>
      </c>
      <c r="D77" s="1" cm="1">
        <f t="array" ref="D77">INDEX(Nodes!$A:$A,MATCH(E77,Nodes!$D:$D,0))</f>
        <v>46</v>
      </c>
      <c r="E77" s="1" t="s">
        <v>59</v>
      </c>
      <c r="F77" s="1">
        <v>18.788803</v>
      </c>
      <c r="G77" s="10">
        <f t="shared" si="1"/>
        <v>0.998122789916724</v>
      </c>
      <c r="H77" s="1" t="s">
        <v>114</v>
      </c>
      <c r="I77" t="str">
        <f>_xlfn.XLOOKUP(C77,Nodes!$D:$D,Nodes!$E:$E)</f>
        <v>Netherlands</v>
      </c>
      <c r="J77" t="str">
        <f>_xlfn.XLOOKUP(E77,Nodes!$D:$D,Nodes!$E:$E)</f>
        <v>Netherlands</v>
      </c>
      <c r="K77" s="4"/>
    </row>
    <row r="78" spans="1:11">
      <c r="A78">
        <v>77</v>
      </c>
      <c r="B78" s="1" cm="1">
        <f t="array" ref="B78">INDEX(Nodes!$A:$A,MATCH(C78,Nodes!$D:$D,0))</f>
        <v>49</v>
      </c>
      <c r="C78" s="1" t="s">
        <v>62</v>
      </c>
      <c r="D78" s="1" cm="1">
        <f t="array" ref="D78">INDEX(Nodes!$A:$A,MATCH(E78,Nodes!$D:$D,0))</f>
        <v>46</v>
      </c>
      <c r="E78" s="1" t="s">
        <v>59</v>
      </c>
      <c r="F78" s="1">
        <v>29.448061</v>
      </c>
      <c r="G78" s="10">
        <f t="shared" si="1"/>
        <v>0.99705937877132</v>
      </c>
      <c r="H78" s="1" t="s">
        <v>114</v>
      </c>
      <c r="I78" t="str">
        <f>_xlfn.XLOOKUP(C78,Nodes!$D:$D,Nodes!$E:$E)</f>
        <v>Netherlands</v>
      </c>
      <c r="J78" t="str">
        <f>_xlfn.XLOOKUP(E78,Nodes!$D:$D,Nodes!$E:$E)</f>
        <v>Netherlands</v>
      </c>
      <c r="K78" s="4"/>
    </row>
    <row r="79" spans="1:11">
      <c r="A79">
        <v>78</v>
      </c>
      <c r="B79" s="11" cm="1">
        <f t="array" ref="B79">INDEX(Nodes!$A:$A,MATCH(C79,Nodes!$D:$D,0))</f>
        <v>50</v>
      </c>
      <c r="C79" s="12" t="s">
        <v>63</v>
      </c>
      <c r="D79" s="11" cm="1">
        <f t="array" ref="D79">INDEX(Nodes!$A:$A,MATCH(E79,Nodes!$D:$D,0))</f>
        <v>52</v>
      </c>
      <c r="E79" s="12" t="s">
        <v>66</v>
      </c>
      <c r="F79" s="12">
        <v>138.883325767669</v>
      </c>
      <c r="G79" s="13">
        <f t="shared" ref="G79:G95" si="2">(0.9999)^F79</f>
        <v>0.98620698049862</v>
      </c>
      <c r="H79" s="11" t="s">
        <v>114</v>
      </c>
      <c r="I79" t="str">
        <f>_xlfn.XLOOKUP(C79,Nodes!$D:$D,Nodes!$E:$E)</f>
        <v>Spain</v>
      </c>
      <c r="J79" t="str">
        <f>_xlfn.XLOOKUP(E79,Nodes!$D:$D,Nodes!$E:$E)</f>
        <v>Spain</v>
      </c>
      <c r="K79" s="4"/>
    </row>
    <row r="80" spans="1:11">
      <c r="A80">
        <v>79</v>
      </c>
      <c r="B80" s="11" cm="1">
        <f t="array" ref="B80">INDEX(Nodes!$A:$A,MATCH(C80,Nodes!$D:$D,0))</f>
        <v>50</v>
      </c>
      <c r="C80" s="12" t="s">
        <v>63</v>
      </c>
      <c r="D80" s="11" cm="1">
        <f t="array" ref="D80">INDEX(Nodes!$A:$A,MATCH(E80,Nodes!$D:$D,0))</f>
        <v>54</v>
      </c>
      <c r="E80" s="12" t="s">
        <v>68</v>
      </c>
      <c r="F80" s="12">
        <v>215.035495897491</v>
      </c>
      <c r="G80" s="13">
        <f t="shared" si="2"/>
        <v>0.978724951013445</v>
      </c>
      <c r="H80" s="11" t="s">
        <v>114</v>
      </c>
      <c r="I80" t="str">
        <f>_xlfn.XLOOKUP(C80,Nodes!$D:$D,Nodes!$E:$E)</f>
        <v>Spain</v>
      </c>
      <c r="J80" t="str">
        <f>_xlfn.XLOOKUP(E80,Nodes!$D:$D,Nodes!$E:$E)</f>
        <v>Spain</v>
      </c>
      <c r="K80" s="4"/>
    </row>
    <row r="81" spans="1:11">
      <c r="A81">
        <v>80</v>
      </c>
      <c r="B81" s="11" cm="1">
        <f t="array" ref="B81">INDEX(Nodes!$A:$A,MATCH(C81,Nodes!$D:$D,0))</f>
        <v>51</v>
      </c>
      <c r="C81" s="12" t="s">
        <v>65</v>
      </c>
      <c r="D81" s="11" cm="1">
        <f t="array" ref="D81">INDEX(Nodes!$A:$A,MATCH(E81,Nodes!$D:$D,0))</f>
        <v>59</v>
      </c>
      <c r="E81" s="12" t="s">
        <v>73</v>
      </c>
      <c r="F81" s="12">
        <v>312.594997102499</v>
      </c>
      <c r="G81" s="13">
        <f t="shared" si="2"/>
        <v>0.969222512112464</v>
      </c>
      <c r="H81" s="11" t="s">
        <v>114</v>
      </c>
      <c r="I81" t="str">
        <f>_xlfn.XLOOKUP(C81,Nodes!$D:$D,Nodes!$E:$E)</f>
        <v>Spain</v>
      </c>
      <c r="J81" t="str">
        <f>_xlfn.XLOOKUP(E81,Nodes!$D:$D,Nodes!$E:$E)</f>
        <v>Spain</v>
      </c>
      <c r="K81" s="4"/>
    </row>
    <row r="82" spans="1:11">
      <c r="A82">
        <v>81</v>
      </c>
      <c r="B82" s="11" cm="1">
        <f t="array" ref="B82">INDEX(Nodes!$A:$A,MATCH(C82,Nodes!$D:$D,0))</f>
        <v>51</v>
      </c>
      <c r="C82" s="12" t="s">
        <v>65</v>
      </c>
      <c r="D82" s="11" cm="1">
        <f t="array" ref="D82">INDEX(Nodes!$A:$A,MATCH(E82,Nodes!$D:$D,0))</f>
        <v>54</v>
      </c>
      <c r="E82" s="12" t="s">
        <v>68</v>
      </c>
      <c r="F82" s="12">
        <v>236.732328875854</v>
      </c>
      <c r="G82" s="13">
        <f t="shared" si="2"/>
        <v>0.976603623902158</v>
      </c>
      <c r="H82" s="11" t="s">
        <v>114</v>
      </c>
      <c r="I82" t="str">
        <f>_xlfn.XLOOKUP(C82,Nodes!$D:$D,Nodes!$E:$E)</f>
        <v>Spain</v>
      </c>
      <c r="J82" t="str">
        <f>_xlfn.XLOOKUP(E82,Nodes!$D:$D,Nodes!$E:$E)</f>
        <v>Spain</v>
      </c>
      <c r="K82" s="4"/>
    </row>
    <row r="83" spans="1:11">
      <c r="A83">
        <v>82</v>
      </c>
      <c r="B83" s="11" cm="1">
        <f t="array" ref="B83">INDEX(Nodes!$A:$A,MATCH(C83,Nodes!$D:$D,0))</f>
        <v>52</v>
      </c>
      <c r="C83" s="12" t="s">
        <v>66</v>
      </c>
      <c r="D83" s="11" cm="1">
        <f t="array" ref="D83">INDEX(Nodes!$A:$A,MATCH(E83,Nodes!$D:$D,0))</f>
        <v>56</v>
      </c>
      <c r="E83" s="12" t="s">
        <v>70</v>
      </c>
      <c r="F83" s="12">
        <v>708.341027697755</v>
      </c>
      <c r="G83" s="13">
        <f t="shared" si="2"/>
        <v>0.931613132169224</v>
      </c>
      <c r="H83" s="11" t="s">
        <v>114</v>
      </c>
      <c r="I83" t="str">
        <f>_xlfn.XLOOKUP(C83,Nodes!$D:$D,Nodes!$E:$E)</f>
        <v>Spain</v>
      </c>
      <c r="J83" t="str">
        <f>_xlfn.XLOOKUP(E83,Nodes!$D:$D,Nodes!$E:$E)</f>
        <v>Spain</v>
      </c>
      <c r="K83" s="4"/>
    </row>
    <row r="84" spans="1:11">
      <c r="A84">
        <v>83</v>
      </c>
      <c r="B84" s="11" cm="1">
        <f t="array" ref="B84">INDEX(Nodes!$A:$A,MATCH(C84,Nodes!$D:$D,0))</f>
        <v>52</v>
      </c>
      <c r="C84" s="12" t="s">
        <v>66</v>
      </c>
      <c r="D84" s="11" cm="1">
        <f t="array" ref="D84">INDEX(Nodes!$A:$A,MATCH(E84,Nodes!$D:$D,0))</f>
        <v>58</v>
      </c>
      <c r="E84" s="12" t="s">
        <v>72</v>
      </c>
      <c r="F84" s="12">
        <v>446.276915408953</v>
      </c>
      <c r="G84" s="13">
        <f t="shared" si="2"/>
        <v>0.95635133991553</v>
      </c>
      <c r="H84" s="11" t="s">
        <v>114</v>
      </c>
      <c r="I84" t="str">
        <f>_xlfn.XLOOKUP(C84,Nodes!$D:$D,Nodes!$E:$E)</f>
        <v>Spain</v>
      </c>
      <c r="J84" t="str">
        <f>_xlfn.XLOOKUP(E84,Nodes!$D:$D,Nodes!$E:$E)</f>
        <v>Spain</v>
      </c>
      <c r="K84" s="4"/>
    </row>
    <row r="85" spans="1:11">
      <c r="A85">
        <v>84</v>
      </c>
      <c r="B85" s="11" cm="1">
        <f t="array" ref="B85">INDEX(Nodes!$A:$A,MATCH(C85,Nodes!$D:$D,0))</f>
        <v>53</v>
      </c>
      <c r="C85" s="12" t="s">
        <v>67</v>
      </c>
      <c r="D85" s="11" cm="1">
        <f t="array" ref="D85">INDEX(Nodes!$A:$A,MATCH(E85,Nodes!$D:$D,0))</f>
        <v>57</v>
      </c>
      <c r="E85" s="12" t="s">
        <v>71</v>
      </c>
      <c r="F85" s="12">
        <v>811.509176028601</v>
      </c>
      <c r="G85" s="13">
        <f t="shared" si="2"/>
        <v>0.922050785164409</v>
      </c>
      <c r="H85" s="11" t="s">
        <v>114</v>
      </c>
      <c r="I85" t="str">
        <f>_xlfn.XLOOKUP(C85,Nodes!$D:$D,Nodes!$E:$E)</f>
        <v>Spain</v>
      </c>
      <c r="J85" t="str">
        <f>_xlfn.XLOOKUP(E85,Nodes!$D:$D,Nodes!$E:$E)</f>
        <v>Spain</v>
      </c>
      <c r="K85" s="4"/>
    </row>
    <row r="86" spans="1:11">
      <c r="A86">
        <v>85</v>
      </c>
      <c r="B86" s="11" cm="1">
        <f t="array" ref="B86">INDEX(Nodes!$A:$A,MATCH(C86,Nodes!$D:$D,0))</f>
        <v>53</v>
      </c>
      <c r="C86" s="12" t="s">
        <v>67</v>
      </c>
      <c r="D86" s="11" cm="1">
        <f t="array" ref="D86">INDEX(Nodes!$A:$A,MATCH(E86,Nodes!$D:$D,0))</f>
        <v>58</v>
      </c>
      <c r="E86" s="12" t="s">
        <v>72</v>
      </c>
      <c r="F86" s="12">
        <v>453.108341825109</v>
      </c>
      <c r="G86" s="13">
        <f t="shared" si="2"/>
        <v>0.955698205994845</v>
      </c>
      <c r="H86" s="11" t="s">
        <v>114</v>
      </c>
      <c r="I86" t="str">
        <f>_xlfn.XLOOKUP(C86,Nodes!$D:$D,Nodes!$E:$E)</f>
        <v>Spain</v>
      </c>
      <c r="J86" t="str">
        <f>_xlfn.XLOOKUP(E86,Nodes!$D:$D,Nodes!$E:$E)</f>
        <v>Spain</v>
      </c>
      <c r="K86" s="4"/>
    </row>
    <row r="87" spans="1:11">
      <c r="A87">
        <v>86</v>
      </c>
      <c r="B87" s="11" cm="1">
        <f t="array" ref="B87">INDEX(Nodes!$A:$A,MATCH(C87,Nodes!$D:$D,0))</f>
        <v>53</v>
      </c>
      <c r="C87" s="12" t="s">
        <v>67</v>
      </c>
      <c r="D87" s="11" cm="1">
        <f t="array" ref="D87">INDEX(Nodes!$A:$A,MATCH(E87,Nodes!$D:$D,0))</f>
        <v>55</v>
      </c>
      <c r="E87" s="12" t="s">
        <v>69</v>
      </c>
      <c r="F87" s="12">
        <v>454.436287762052</v>
      </c>
      <c r="G87" s="13">
        <f t="shared" si="2"/>
        <v>0.955571296520939</v>
      </c>
      <c r="H87" s="11" t="s">
        <v>114</v>
      </c>
      <c r="I87" t="str">
        <f>_xlfn.XLOOKUP(C87,Nodes!$D:$D,Nodes!$E:$E)</f>
        <v>Spain</v>
      </c>
      <c r="J87" t="str">
        <f>_xlfn.XLOOKUP(E87,Nodes!$D:$D,Nodes!$E:$E)</f>
        <v>Spain</v>
      </c>
      <c r="K87" s="4"/>
    </row>
    <row r="88" spans="1:11">
      <c r="A88">
        <v>87</v>
      </c>
      <c r="B88" s="11" cm="1">
        <f t="array" ref="B88">INDEX(Nodes!$A:$A,MATCH(C88,Nodes!$D:$D,0))</f>
        <v>54</v>
      </c>
      <c r="C88" s="12" t="s">
        <v>68</v>
      </c>
      <c r="D88" s="11" cm="1">
        <f t="array" ref="D88">INDEX(Nodes!$A:$A,MATCH(E88,Nodes!$D:$D,0))</f>
        <v>58</v>
      </c>
      <c r="E88" s="12" t="s">
        <v>72</v>
      </c>
      <c r="F88" s="12">
        <v>410.617998864885</v>
      </c>
      <c r="G88" s="13">
        <f t="shared" si="2"/>
        <v>0.959767843826233</v>
      </c>
      <c r="H88" s="11" t="s">
        <v>114</v>
      </c>
      <c r="I88" t="str">
        <f>_xlfn.XLOOKUP(C88,Nodes!$D:$D,Nodes!$E:$E)</f>
        <v>Spain</v>
      </c>
      <c r="J88" t="str">
        <f>_xlfn.XLOOKUP(E88,Nodes!$D:$D,Nodes!$E:$E)</f>
        <v>Spain</v>
      </c>
      <c r="K88" s="4"/>
    </row>
    <row r="89" spans="1:11">
      <c r="A89">
        <v>88</v>
      </c>
      <c r="B89" s="11" cm="1">
        <f t="array" ref="B89">INDEX(Nodes!$A:$A,MATCH(C89,Nodes!$D:$D,0))</f>
        <v>54</v>
      </c>
      <c r="C89" s="12" t="s">
        <v>68</v>
      </c>
      <c r="D89" s="11" cm="1">
        <f t="array" ref="D89">INDEX(Nodes!$A:$A,MATCH(E89,Nodes!$D:$D,0))</f>
        <v>55</v>
      </c>
      <c r="E89" s="12" t="s">
        <v>69</v>
      </c>
      <c r="F89" s="12">
        <v>382.251807588671</v>
      </c>
      <c r="G89" s="13">
        <f t="shared" si="2"/>
        <v>0.962494341166198</v>
      </c>
      <c r="H89" s="11" t="s">
        <v>114</v>
      </c>
      <c r="I89" t="str">
        <f>_xlfn.XLOOKUP(C89,Nodes!$D:$D,Nodes!$E:$E)</f>
        <v>Spain</v>
      </c>
      <c r="J89" t="str">
        <f>_xlfn.XLOOKUP(E89,Nodes!$D:$D,Nodes!$E:$E)</f>
        <v>Spain</v>
      </c>
      <c r="K89" s="4"/>
    </row>
    <row r="90" spans="1:11">
      <c r="A90">
        <v>89</v>
      </c>
      <c r="B90" s="11" cm="1">
        <f t="array" ref="B90">INDEX(Nodes!$A:$A,MATCH(C90,Nodes!$D:$D,0))</f>
        <v>55</v>
      </c>
      <c r="C90" s="12" t="s">
        <v>69</v>
      </c>
      <c r="D90" s="11" cm="1">
        <f t="array" ref="D90">INDEX(Nodes!$A:$A,MATCH(E90,Nodes!$D:$D,0))</f>
        <v>58</v>
      </c>
      <c r="E90" s="12" t="s">
        <v>72</v>
      </c>
      <c r="F90" s="12">
        <v>756.06432384089</v>
      </c>
      <c r="G90" s="13">
        <f t="shared" si="2"/>
        <v>0.927177537923823</v>
      </c>
      <c r="H90" s="11" t="s">
        <v>114</v>
      </c>
      <c r="I90" t="str">
        <f>_xlfn.XLOOKUP(C90,Nodes!$D:$D,Nodes!$E:$E)</f>
        <v>Spain</v>
      </c>
      <c r="J90" t="str">
        <f>_xlfn.XLOOKUP(E90,Nodes!$D:$D,Nodes!$E:$E)</f>
        <v>Spain</v>
      </c>
      <c r="K90" s="4"/>
    </row>
    <row r="91" spans="1:11">
      <c r="A91">
        <v>90</v>
      </c>
      <c r="B91" s="11" cm="1">
        <f t="array" ref="B91">INDEX(Nodes!$A:$A,MATCH(C91,Nodes!$D:$D,0))</f>
        <v>56</v>
      </c>
      <c r="C91" s="12" t="s">
        <v>70</v>
      </c>
      <c r="D91" s="11" cm="1">
        <f t="array" ref="D91">INDEX(Nodes!$A:$A,MATCH(E91,Nodes!$D:$D,0))</f>
        <v>58</v>
      </c>
      <c r="E91" s="12" t="s">
        <v>72</v>
      </c>
      <c r="F91" s="12">
        <v>730.367343906621</v>
      </c>
      <c r="G91" s="13">
        <f t="shared" si="2"/>
        <v>0.929563287487081</v>
      </c>
      <c r="H91" s="11" t="s">
        <v>114</v>
      </c>
      <c r="I91" t="str">
        <f>_xlfn.XLOOKUP(C91,Nodes!$D:$D,Nodes!$E:$E)</f>
        <v>Spain</v>
      </c>
      <c r="J91" t="str">
        <f>_xlfn.XLOOKUP(E91,Nodes!$D:$D,Nodes!$E:$E)</f>
        <v>Spain</v>
      </c>
      <c r="K91" s="4"/>
    </row>
    <row r="92" spans="1:11">
      <c r="A92">
        <v>91</v>
      </c>
      <c r="B92" s="11" cm="1">
        <f t="array" ref="B92">INDEX(Nodes!$A:$A,MATCH(C92,Nodes!$D:$D,0))</f>
        <v>56</v>
      </c>
      <c r="C92" s="12" t="s">
        <v>70</v>
      </c>
      <c r="D92" s="11" cm="1">
        <f t="array" ref="D92">INDEX(Nodes!$A:$A,MATCH(E92,Nodes!$D:$D,0))</f>
        <v>59</v>
      </c>
      <c r="E92" s="12" t="s">
        <v>73</v>
      </c>
      <c r="F92" s="12">
        <v>515.279889662289</v>
      </c>
      <c r="G92" s="13">
        <f t="shared" si="2"/>
        <v>0.949774619146845</v>
      </c>
      <c r="H92" s="11" t="s">
        <v>114</v>
      </c>
      <c r="I92" t="str">
        <f>_xlfn.XLOOKUP(C92,Nodes!$D:$D,Nodes!$E:$E)</f>
        <v>Spain</v>
      </c>
      <c r="J92" t="str">
        <f>_xlfn.XLOOKUP(E92,Nodes!$D:$D,Nodes!$E:$E)</f>
        <v>Spain</v>
      </c>
      <c r="K92" s="4"/>
    </row>
    <row r="93" spans="1:11">
      <c r="A93">
        <v>92</v>
      </c>
      <c r="B93" s="11" cm="1">
        <f t="array" ref="B93">INDEX(Nodes!$A:$A,MATCH(C93,Nodes!$D:$D,0))</f>
        <v>57</v>
      </c>
      <c r="C93" s="12" t="s">
        <v>71</v>
      </c>
      <c r="D93" s="11" cm="1">
        <f t="array" ref="D93">INDEX(Nodes!$A:$A,MATCH(E93,Nodes!$D:$D,0))</f>
        <v>58</v>
      </c>
      <c r="E93" s="12" t="s">
        <v>72</v>
      </c>
      <c r="F93" s="12">
        <v>587.700898176235</v>
      </c>
      <c r="G93" s="13">
        <f t="shared" si="2"/>
        <v>0.942920760993669</v>
      </c>
      <c r="H93" s="11" t="s">
        <v>114</v>
      </c>
      <c r="I93" t="str">
        <f>_xlfn.XLOOKUP(C93,Nodes!$D:$D,Nodes!$E:$E)</f>
        <v>Spain</v>
      </c>
      <c r="J93" t="str">
        <f>_xlfn.XLOOKUP(E93,Nodes!$D:$D,Nodes!$E:$E)</f>
        <v>Spain</v>
      </c>
      <c r="K93" s="4"/>
    </row>
    <row r="94" spans="1:11">
      <c r="A94">
        <v>93</v>
      </c>
      <c r="B94" s="11" cm="1">
        <f t="array" ref="B94">INDEX(Nodes!$A:$A,MATCH(C94,Nodes!$D:$D,0))</f>
        <v>57</v>
      </c>
      <c r="C94" s="12" t="s">
        <v>71</v>
      </c>
      <c r="D94" s="11" cm="1">
        <f t="array" ref="D94">INDEX(Nodes!$A:$A,MATCH(E94,Nodes!$D:$D,0))</f>
        <v>55</v>
      </c>
      <c r="E94" s="12" t="s">
        <v>69</v>
      </c>
      <c r="F94" s="12">
        <v>1244.05574218837</v>
      </c>
      <c r="G94" s="13">
        <f t="shared" si="2"/>
        <v>0.883016144448001</v>
      </c>
      <c r="H94" s="11" t="s">
        <v>114</v>
      </c>
      <c r="I94" t="str">
        <f>_xlfn.XLOOKUP(C94,Nodes!$D:$D,Nodes!$E:$E)</f>
        <v>Spain</v>
      </c>
      <c r="J94" t="str">
        <f>_xlfn.XLOOKUP(E94,Nodes!$D:$D,Nodes!$E:$E)</f>
        <v>Spain</v>
      </c>
      <c r="K94" s="4"/>
    </row>
    <row r="95" spans="1:11">
      <c r="A95">
        <v>94</v>
      </c>
      <c r="B95" s="11" cm="1">
        <f t="array" ref="B95">INDEX(Nodes!$A:$A,MATCH(C95,Nodes!$D:$D,0))</f>
        <v>58</v>
      </c>
      <c r="C95" s="12" t="s">
        <v>72</v>
      </c>
      <c r="D95" s="11" cm="1">
        <f t="array" ref="D95">INDEX(Nodes!$A:$A,MATCH(E95,Nodes!$D:$D,0))</f>
        <v>59</v>
      </c>
      <c r="E95" s="12" t="s">
        <v>73</v>
      </c>
      <c r="F95" s="12">
        <v>241.980482497107</v>
      </c>
      <c r="G95" s="13">
        <f t="shared" si="2"/>
        <v>0.976091196172548</v>
      </c>
      <c r="H95" s="11" t="s">
        <v>114</v>
      </c>
      <c r="I95" t="str">
        <f>_xlfn.XLOOKUP(C95,Nodes!$D:$D,Nodes!$E:$E)</f>
        <v>Spain</v>
      </c>
      <c r="J95" t="str">
        <f>_xlfn.XLOOKUP(E95,Nodes!$D:$D,Nodes!$E:$E)</f>
        <v>Spain</v>
      </c>
      <c r="K95" s="4"/>
    </row>
    <row r="96" spans="1:11">
      <c r="A96">
        <v>95</v>
      </c>
      <c r="B96" s="8" cm="1">
        <f t="array" ref="B96">INDEX(Nodes!$A:$A,MATCH(C96,Nodes!$D:$D,0))</f>
        <v>60</v>
      </c>
      <c r="C96" s="8" t="s">
        <v>74</v>
      </c>
      <c r="D96" s="8" cm="1">
        <f t="array" ref="D96">INDEX(Nodes!$A:$A,MATCH(E96,Nodes!$D:$D,0))</f>
        <v>61</v>
      </c>
      <c r="E96" s="8" t="s">
        <v>76</v>
      </c>
      <c r="F96" s="8">
        <v>78.187692</v>
      </c>
      <c r="G96" s="9">
        <f t="shared" ref="G96:G107" si="3">(0.9999)^F96</f>
        <v>0.992211329947538</v>
      </c>
      <c r="H96" s="8" t="s">
        <v>114</v>
      </c>
      <c r="I96" t="str">
        <f>_xlfn.XLOOKUP(C96,Nodes!$D:$D,Nodes!$E:$E)</f>
        <v>Switzerland</v>
      </c>
      <c r="J96" t="str">
        <f>_xlfn.XLOOKUP(E96,Nodes!$D:$D,Nodes!$E:$E)</f>
        <v>Switzerland</v>
      </c>
      <c r="K96" s="4"/>
    </row>
    <row r="97" spans="1:11">
      <c r="A97">
        <v>96</v>
      </c>
      <c r="B97" s="8" cm="1">
        <f t="array" ref="B97">INDEX(Nodes!$A:$A,MATCH(C97,Nodes!$D:$D,0))</f>
        <v>60</v>
      </c>
      <c r="C97" s="8" t="s">
        <v>74</v>
      </c>
      <c r="D97" s="8" cm="1">
        <f t="array" ref="D97">INDEX(Nodes!$A:$A,MATCH(E97,Nodes!$D:$D,0))</f>
        <v>62</v>
      </c>
      <c r="E97" s="8" t="s">
        <v>77</v>
      </c>
      <c r="F97" s="8">
        <v>173.299027</v>
      </c>
      <c r="G97" s="9">
        <f t="shared" si="3"/>
        <v>0.982818544708955</v>
      </c>
      <c r="H97" s="8" t="s">
        <v>114</v>
      </c>
      <c r="I97" t="str">
        <f>_xlfn.XLOOKUP(C97,Nodes!$D:$D,Nodes!$E:$E)</f>
        <v>Switzerland</v>
      </c>
      <c r="J97" t="str">
        <f>_xlfn.XLOOKUP(E97,Nodes!$D:$D,Nodes!$E:$E)</f>
        <v>Switzerland</v>
      </c>
      <c r="K97" s="4"/>
    </row>
    <row r="98" spans="1:11">
      <c r="A98">
        <v>97</v>
      </c>
      <c r="B98" s="8" cm="1">
        <f t="array" ref="B98">INDEX(Nodes!$A:$A,MATCH(C98,Nodes!$D:$D,0))</f>
        <v>65</v>
      </c>
      <c r="C98" s="8" t="s">
        <v>80</v>
      </c>
      <c r="D98" s="8" cm="1">
        <f t="array" ref="D98">INDEX(Nodes!$A:$A,MATCH(E98,Nodes!$D:$D,0))</f>
        <v>60</v>
      </c>
      <c r="E98" s="8" t="s">
        <v>74</v>
      </c>
      <c r="F98" s="8">
        <v>51.499128</v>
      </c>
      <c r="G98" s="9">
        <f t="shared" si="3"/>
        <v>0.994863069076198</v>
      </c>
      <c r="H98" s="8" t="s">
        <v>114</v>
      </c>
      <c r="I98" t="str">
        <f>_xlfn.XLOOKUP(C98,Nodes!$D:$D,Nodes!$E:$E)</f>
        <v>Switzerland</v>
      </c>
      <c r="J98" t="str">
        <f>_xlfn.XLOOKUP(E98,Nodes!$D:$D,Nodes!$E:$E)</f>
        <v>Switzerland</v>
      </c>
      <c r="K98" s="4"/>
    </row>
    <row r="99" spans="1:11">
      <c r="A99">
        <v>98</v>
      </c>
      <c r="B99" s="8" cm="1">
        <f t="array" ref="B99">INDEX(Nodes!$A:$A,MATCH(C99,Nodes!$D:$D,0))</f>
        <v>60</v>
      </c>
      <c r="C99" s="8" t="s">
        <v>74</v>
      </c>
      <c r="D99" s="8" cm="1">
        <f t="array" ref="D99">INDEX(Nodes!$A:$A,MATCH(E99,Nodes!$D:$D,0))</f>
        <v>63</v>
      </c>
      <c r="E99" s="8" t="s">
        <v>78</v>
      </c>
      <c r="F99" s="8">
        <v>184.232238</v>
      </c>
      <c r="G99" s="9">
        <f t="shared" si="3"/>
        <v>0.981744541977436</v>
      </c>
      <c r="H99" s="8" t="s">
        <v>114</v>
      </c>
      <c r="I99" t="str">
        <f>_xlfn.XLOOKUP(C99,Nodes!$D:$D,Nodes!$E:$E)</f>
        <v>Switzerland</v>
      </c>
      <c r="J99" t="str">
        <f>_xlfn.XLOOKUP(E99,Nodes!$D:$D,Nodes!$E:$E)</f>
        <v>Switzerland</v>
      </c>
      <c r="K99" s="4"/>
    </row>
    <row r="100" spans="1:11">
      <c r="A100">
        <v>99</v>
      </c>
      <c r="B100" s="8" cm="1">
        <f t="array" ref="B100">INDEX(Nodes!$A:$A,MATCH(C100,Nodes!$D:$D,0))</f>
        <v>60</v>
      </c>
      <c r="C100" s="8" t="s">
        <v>74</v>
      </c>
      <c r="D100" s="8" cm="1">
        <f t="array" ref="D100">INDEX(Nodes!$A:$A,MATCH(E100,Nodes!$D:$D,0))</f>
        <v>64</v>
      </c>
      <c r="E100" s="8" t="s">
        <v>79</v>
      </c>
      <c r="F100" s="8">
        <v>56.88873</v>
      </c>
      <c r="G100" s="9">
        <f t="shared" si="3"/>
        <v>0.994326995147606</v>
      </c>
      <c r="H100" s="8" t="s">
        <v>114</v>
      </c>
      <c r="I100" t="str">
        <f>_xlfn.XLOOKUP(C100,Nodes!$D:$D,Nodes!$E:$E)</f>
        <v>Switzerland</v>
      </c>
      <c r="J100" t="str">
        <f>_xlfn.XLOOKUP(E100,Nodes!$D:$D,Nodes!$E:$E)</f>
        <v>Switzerland</v>
      </c>
      <c r="K100" s="4"/>
    </row>
    <row r="101" spans="1:11">
      <c r="A101">
        <v>100</v>
      </c>
      <c r="B101" s="8" cm="1">
        <f t="array" ref="B101">INDEX(Nodes!$A:$A,MATCH(C101,Nodes!$D:$D,0))</f>
        <v>61</v>
      </c>
      <c r="C101" s="8" t="s">
        <v>76</v>
      </c>
      <c r="D101" s="8" cm="1">
        <f t="array" ref="D101">INDEX(Nodes!$A:$A,MATCH(E101,Nodes!$D:$D,0))</f>
        <v>66</v>
      </c>
      <c r="E101" s="8" t="s">
        <v>81</v>
      </c>
      <c r="F101" s="8">
        <v>68.878306</v>
      </c>
      <c r="G101" s="9">
        <f t="shared" si="3"/>
        <v>0.993135494086208</v>
      </c>
      <c r="H101" s="8" t="s">
        <v>114</v>
      </c>
      <c r="I101" t="str">
        <f>_xlfn.XLOOKUP(C101,Nodes!$D:$D,Nodes!$E:$E)</f>
        <v>Switzerland</v>
      </c>
      <c r="J101" t="str">
        <f>_xlfn.XLOOKUP(E101,Nodes!$D:$D,Nodes!$E:$E)</f>
        <v>Switzerland</v>
      </c>
      <c r="K101" s="4"/>
    </row>
    <row r="102" spans="1:11">
      <c r="A102">
        <v>101</v>
      </c>
      <c r="B102" s="8" cm="1">
        <f t="array" ref="B102">INDEX(Nodes!$A:$A,MATCH(C102,Nodes!$D:$D,0))</f>
        <v>61</v>
      </c>
      <c r="C102" s="8" t="s">
        <v>76</v>
      </c>
      <c r="D102" s="8" cm="1">
        <f t="array" ref="D102">INDEX(Nodes!$A:$A,MATCH(E102,Nodes!$D:$D,0))</f>
        <v>63</v>
      </c>
      <c r="E102" s="8" t="s">
        <v>78</v>
      </c>
      <c r="F102" s="8">
        <v>152.365858</v>
      </c>
      <c r="G102" s="9">
        <f t="shared" si="3"/>
        <v>0.984878153314992</v>
      </c>
      <c r="H102" s="8" t="s">
        <v>114</v>
      </c>
      <c r="I102" t="str">
        <f>_xlfn.XLOOKUP(C102,Nodes!$D:$D,Nodes!$E:$E)</f>
        <v>Switzerland</v>
      </c>
      <c r="J102" t="str">
        <f>_xlfn.XLOOKUP(E102,Nodes!$D:$D,Nodes!$E:$E)</f>
        <v>Switzerland</v>
      </c>
      <c r="K102" s="4"/>
    </row>
    <row r="103" spans="1:11">
      <c r="A103">
        <v>102</v>
      </c>
      <c r="B103" s="8" cm="1">
        <f t="array" ref="B103">INDEX(Nodes!$A:$A,MATCH(C103,Nodes!$D:$D,0))</f>
        <v>66</v>
      </c>
      <c r="C103" s="8" t="s">
        <v>81</v>
      </c>
      <c r="D103" s="8" cm="1">
        <f t="array" ref="D103">INDEX(Nodes!$A:$A,MATCH(E103,Nodes!$D:$D,0))</f>
        <v>62</v>
      </c>
      <c r="E103" s="8" t="s">
        <v>77</v>
      </c>
      <c r="F103" s="8">
        <v>74.395623</v>
      </c>
      <c r="G103" s="9">
        <f t="shared" si="3"/>
        <v>0.992587673499129</v>
      </c>
      <c r="H103" s="8" t="s">
        <v>114</v>
      </c>
      <c r="I103" t="str">
        <f>_xlfn.XLOOKUP(C103,Nodes!$D:$D,Nodes!$E:$E)</f>
        <v>Switzerland</v>
      </c>
      <c r="J103" t="str">
        <f>_xlfn.XLOOKUP(E103,Nodes!$D:$D,Nodes!$E:$E)</f>
        <v>Switzerland</v>
      </c>
      <c r="K103" s="4"/>
    </row>
    <row r="104" spans="1:11">
      <c r="A104">
        <v>103</v>
      </c>
      <c r="B104" s="8" cm="1">
        <f t="array" ref="B104">INDEX(Nodes!$A:$A,MATCH(C104,Nodes!$D:$D,0))</f>
        <v>62</v>
      </c>
      <c r="C104" s="8" t="s">
        <v>77</v>
      </c>
      <c r="D104" s="8" cm="1">
        <f t="array" ref="D104">INDEX(Nodes!$A:$A,MATCH(E104,Nodes!$D:$D,0))</f>
        <v>63</v>
      </c>
      <c r="E104" s="8" t="s">
        <v>78</v>
      </c>
      <c r="F104" s="8">
        <v>152.803659</v>
      </c>
      <c r="G104" s="9">
        <f t="shared" ref="G104:G136" si="4">(0.9999)^F104</f>
        <v>0.984835034038842</v>
      </c>
      <c r="H104" s="8" t="s">
        <v>114</v>
      </c>
      <c r="I104" t="str">
        <f>_xlfn.XLOOKUP(C104,Nodes!$D:$D,Nodes!$E:$E)</f>
        <v>Switzerland</v>
      </c>
      <c r="J104" t="str">
        <f>_xlfn.XLOOKUP(E104,Nodes!$D:$D,Nodes!$E:$E)</f>
        <v>Switzerland</v>
      </c>
      <c r="K104" s="4"/>
    </row>
    <row r="105" spans="1:11">
      <c r="A105">
        <v>104</v>
      </c>
      <c r="B105" s="8" cm="1">
        <f t="array" ref="B105">INDEX(Nodes!$A:$A,MATCH(C105,Nodes!$D:$D,0))</f>
        <v>62</v>
      </c>
      <c r="C105" s="8" t="s">
        <v>77</v>
      </c>
      <c r="D105" s="8" cm="1">
        <f t="array" ref="D105">INDEX(Nodes!$A:$A,MATCH(E105,Nodes!$D:$D,0))</f>
        <v>64</v>
      </c>
      <c r="E105" s="8" t="s">
        <v>79</v>
      </c>
      <c r="F105" s="8">
        <v>129.19899</v>
      </c>
      <c r="G105" s="9">
        <f t="shared" si="4"/>
        <v>0.987162566868567</v>
      </c>
      <c r="H105" s="8" t="s">
        <v>114</v>
      </c>
      <c r="I105" t="str">
        <f>_xlfn.XLOOKUP(C105,Nodes!$D:$D,Nodes!$E:$E)</f>
        <v>Switzerland</v>
      </c>
      <c r="J105" t="str">
        <f>_xlfn.XLOOKUP(E105,Nodes!$D:$D,Nodes!$E:$E)</f>
        <v>Switzerland</v>
      </c>
      <c r="K105" s="4"/>
    </row>
    <row r="106" spans="1:11">
      <c r="A106">
        <v>105</v>
      </c>
      <c r="B106" s="8" cm="1">
        <f t="array" ref="B106">INDEX(Nodes!$A:$A,MATCH(C106,Nodes!$D:$D,0))</f>
        <v>62</v>
      </c>
      <c r="C106" s="8" t="s">
        <v>77</v>
      </c>
      <c r="D106" s="8" cm="1">
        <f t="array" ref="D106">INDEX(Nodes!$A:$A,MATCH(E106,Nodes!$D:$D,0))</f>
        <v>61</v>
      </c>
      <c r="E106" s="8" t="s">
        <v>76</v>
      </c>
      <c r="F106" s="8">
        <v>95.413955</v>
      </c>
      <c r="G106" s="9">
        <f t="shared" si="4"/>
        <v>0.990503506615859</v>
      </c>
      <c r="H106" s="8" t="s">
        <v>114</v>
      </c>
      <c r="I106" t="str">
        <f>_xlfn.XLOOKUP(C106,Nodes!$D:$D,Nodes!$E:$E)</f>
        <v>Switzerland</v>
      </c>
      <c r="J106" t="str">
        <f>_xlfn.XLOOKUP(E106,Nodes!$D:$D,Nodes!$E:$E)</f>
        <v>Switzerland</v>
      </c>
      <c r="K106" s="4"/>
    </row>
    <row r="107" spans="1:11">
      <c r="A107">
        <v>106</v>
      </c>
      <c r="B107" s="1" cm="1">
        <f t="array" ref="B107">INDEX(Nodes!$A:$A,MATCH(C107,Nodes!$D:$D,0))</f>
        <v>68</v>
      </c>
      <c r="C107" s="1" t="s">
        <v>84</v>
      </c>
      <c r="D107" s="1" cm="1">
        <f t="array" ref="D107">INDEX(Nodes!$A:$A,MATCH(E107,Nodes!$D:$D,0))</f>
        <v>67</v>
      </c>
      <c r="E107" s="1" t="s">
        <v>82</v>
      </c>
      <c r="F107" s="1">
        <v>32.532072</v>
      </c>
      <c r="G107" s="10">
        <f t="shared" si="4"/>
        <v>0.99675191660205</v>
      </c>
      <c r="H107" s="1" t="s">
        <v>114</v>
      </c>
      <c r="I107" t="str">
        <f>_xlfn.XLOOKUP(C107,Nodes!$D:$D,Nodes!$E:$E)</f>
        <v>Belgium</v>
      </c>
      <c r="J107" t="str">
        <f>_xlfn.XLOOKUP(E107,Nodes!$D:$D,Nodes!$E:$E)</f>
        <v>Belgium</v>
      </c>
      <c r="K107" s="4"/>
    </row>
    <row r="108" spans="1:11">
      <c r="A108">
        <v>107</v>
      </c>
      <c r="B108" s="1" cm="1">
        <f t="array" ref="B108">INDEX(Nodes!$A:$A,MATCH(C108,Nodes!$D:$D,0))</f>
        <v>69</v>
      </c>
      <c r="C108" s="1" t="s">
        <v>85</v>
      </c>
      <c r="D108" s="1" cm="1">
        <f t="array" ref="D108">INDEX(Nodes!$A:$A,MATCH(E108,Nodes!$D:$D,0))</f>
        <v>68</v>
      </c>
      <c r="E108" s="1" t="s">
        <v>84</v>
      </c>
      <c r="F108" s="1">
        <v>51.102957</v>
      </c>
      <c r="G108" s="10">
        <f t="shared" si="4"/>
        <v>0.994902485417517</v>
      </c>
      <c r="H108" s="1" t="s">
        <v>114</v>
      </c>
      <c r="I108" t="str">
        <f>_xlfn.XLOOKUP(C108,Nodes!$D:$D,Nodes!$E:$E)</f>
        <v>Belgium</v>
      </c>
      <c r="J108" t="str">
        <f>_xlfn.XLOOKUP(E108,Nodes!$D:$D,Nodes!$E:$E)</f>
        <v>Belgium</v>
      </c>
      <c r="K108" s="4"/>
    </row>
    <row r="109" spans="1:11">
      <c r="A109">
        <v>108</v>
      </c>
      <c r="B109" s="1" cm="1">
        <f t="array" ref="B109">INDEX(Nodes!$A:$A,MATCH(C109,Nodes!$D:$D,0))</f>
        <v>67</v>
      </c>
      <c r="C109" s="1" t="s">
        <v>82</v>
      </c>
      <c r="D109" s="1" cm="1">
        <f t="array" ref="D109">INDEX(Nodes!$A:$A,MATCH(E109,Nodes!$D:$D,0))</f>
        <v>70</v>
      </c>
      <c r="E109" s="1" t="s">
        <v>86</v>
      </c>
      <c r="F109" s="1">
        <v>86.472191</v>
      </c>
      <c r="G109" s="10">
        <f t="shared" si="4"/>
        <v>0.991389631899708</v>
      </c>
      <c r="H109" s="1" t="s">
        <v>114</v>
      </c>
      <c r="I109" t="str">
        <f>_xlfn.XLOOKUP(C109,Nodes!$D:$D,Nodes!$E:$E)</f>
        <v>Belgium</v>
      </c>
      <c r="J109" t="str">
        <f>_xlfn.XLOOKUP(E109,Nodes!$D:$D,Nodes!$E:$E)</f>
        <v>Belgium</v>
      </c>
      <c r="K109" s="4"/>
    </row>
    <row r="110" spans="1:11">
      <c r="A110">
        <v>109</v>
      </c>
      <c r="B110" s="1" cm="1">
        <f t="array" ref="B110">INDEX(Nodes!$A:$A,MATCH(C110,Nodes!$D:$D,0))</f>
        <v>67</v>
      </c>
      <c r="C110" s="1" t="s">
        <v>82</v>
      </c>
      <c r="D110" s="1" cm="1">
        <f t="array" ref="D110">INDEX(Nodes!$A:$A,MATCH(E110,Nodes!$D:$D,0))</f>
        <v>71</v>
      </c>
      <c r="E110" s="1" t="s">
        <v>87</v>
      </c>
      <c r="F110" s="1">
        <v>56.58798</v>
      </c>
      <c r="G110" s="10">
        <f t="shared" si="4"/>
        <v>0.99435690147704</v>
      </c>
      <c r="H110" s="1" t="s">
        <v>114</v>
      </c>
      <c r="I110" t="str">
        <f>_xlfn.XLOOKUP(C110,Nodes!$D:$D,Nodes!$E:$E)</f>
        <v>Belgium</v>
      </c>
      <c r="J110" t="str">
        <f>_xlfn.XLOOKUP(E110,Nodes!$D:$D,Nodes!$E:$E)</f>
        <v>Belgium</v>
      </c>
      <c r="K110" s="4"/>
    </row>
    <row r="111" spans="1:11">
      <c r="A111">
        <v>110</v>
      </c>
      <c r="B111" s="1" cm="1">
        <f t="array" ref="B111">INDEX(Nodes!$A:$A,MATCH(C111,Nodes!$D:$D,0))</f>
        <v>74</v>
      </c>
      <c r="C111" s="14" t="s">
        <v>91</v>
      </c>
      <c r="D111" s="1" cm="1">
        <f t="array" ref="D111">INDEX(Nodes!$A:$A,MATCH(E111,Nodes!$D:$D,0))</f>
        <v>75</v>
      </c>
      <c r="E111" s="14" t="s">
        <v>92</v>
      </c>
      <c r="F111">
        <v>428.413617967113</v>
      </c>
      <c r="G111" s="10">
        <f t="shared" si="4"/>
        <v>0.958061311091353</v>
      </c>
      <c r="H111" s="1" t="s">
        <v>114</v>
      </c>
      <c r="I111" t="str">
        <f>_xlfn.XLOOKUP(C111,Nodes!$D:$D,Nodes!$E:$E)</f>
        <v>United Kingdom</v>
      </c>
      <c r="J111" t="str">
        <f>_xlfn.XLOOKUP(E111,Nodes!$D:$D,Nodes!$E:$E)</f>
        <v>United Kingdom</v>
      </c>
      <c r="K111" s="4"/>
    </row>
    <row r="112" spans="1:11">
      <c r="A112">
        <v>111</v>
      </c>
      <c r="B112" s="1" cm="1">
        <f t="array" ref="B112">INDEX(Nodes!$A:$A,MATCH(C112,Nodes!$D:$D,0))</f>
        <v>74</v>
      </c>
      <c r="C112" s="14" t="s">
        <v>91</v>
      </c>
      <c r="D112" s="1" cm="1">
        <f t="array" ref="D112">INDEX(Nodes!$A:$A,MATCH(E112,Nodes!$D:$D,0))</f>
        <v>73</v>
      </c>
      <c r="E112" s="14" t="s">
        <v>90</v>
      </c>
      <c r="F112">
        <v>601.061769098263</v>
      </c>
      <c r="G112" s="10">
        <f t="shared" si="4"/>
        <v>0.941661715067401</v>
      </c>
      <c r="H112" s="1" t="s">
        <v>114</v>
      </c>
      <c r="I112" t="str">
        <f>_xlfn.XLOOKUP(C112,Nodes!$D:$D,Nodes!$E:$E)</f>
        <v>United Kingdom</v>
      </c>
      <c r="J112" t="str">
        <f>_xlfn.XLOOKUP(E112,Nodes!$D:$D,Nodes!$E:$E)</f>
        <v>United Kingdom</v>
      </c>
      <c r="K112" s="4"/>
    </row>
    <row r="113" spans="1:11">
      <c r="A113">
        <v>112</v>
      </c>
      <c r="B113" s="1" cm="1">
        <f t="array" ref="B113">INDEX(Nodes!$A:$A,MATCH(C113,Nodes!$D:$D,0))</f>
        <v>75</v>
      </c>
      <c r="C113" s="14" t="s">
        <v>92</v>
      </c>
      <c r="D113" s="1" cm="1">
        <f t="array" ref="D113">INDEX(Nodes!$A:$A,MATCH(E113,Nodes!$D:$D,0))</f>
        <v>73</v>
      </c>
      <c r="E113" s="14" t="s">
        <v>90</v>
      </c>
      <c r="F113">
        <v>172.64930362294</v>
      </c>
      <c r="G113" s="10">
        <f t="shared" si="4"/>
        <v>0.98288240599505</v>
      </c>
      <c r="H113" s="1" t="s">
        <v>114</v>
      </c>
      <c r="I113" t="str">
        <f>_xlfn.XLOOKUP(C113,Nodes!$D:$D,Nodes!$E:$E)</f>
        <v>United Kingdom</v>
      </c>
      <c r="J113" t="str">
        <f>_xlfn.XLOOKUP(E113,Nodes!$D:$D,Nodes!$E:$E)</f>
        <v>United Kingdom</v>
      </c>
      <c r="K113" s="4"/>
    </row>
    <row r="114" spans="1:11">
      <c r="A114">
        <v>113</v>
      </c>
      <c r="B114" s="1" cm="1">
        <f t="array" ref="B114">INDEX(Nodes!$A:$A,MATCH(C114,Nodes!$D:$D,0))</f>
        <v>75</v>
      </c>
      <c r="C114" s="14" t="s">
        <v>92</v>
      </c>
      <c r="D114" s="1" cm="1">
        <f t="array" ref="D114">INDEX(Nodes!$A:$A,MATCH(E114,Nodes!$D:$D,0))</f>
        <v>77</v>
      </c>
      <c r="E114" t="s">
        <v>94</v>
      </c>
      <c r="F114">
        <v>286.97917723303</v>
      </c>
      <c r="G114" s="10">
        <f t="shared" si="4"/>
        <v>0.971708562096373</v>
      </c>
      <c r="H114" s="1" t="s">
        <v>114</v>
      </c>
      <c r="I114" t="str">
        <f>_xlfn.XLOOKUP(C114,Nodes!$D:$D,Nodes!$E:$E)</f>
        <v>United Kingdom</v>
      </c>
      <c r="J114" t="str">
        <f>_xlfn.XLOOKUP(E114,Nodes!$D:$D,Nodes!$E:$E)</f>
        <v>United Kingdom</v>
      </c>
      <c r="K114" s="4"/>
    </row>
    <row r="115" spans="1:11">
      <c r="A115">
        <v>114</v>
      </c>
      <c r="B115" s="1" cm="1">
        <f t="array" ref="B115">INDEX(Nodes!$A:$A,MATCH(C115,Nodes!$D:$D,0))</f>
        <v>73</v>
      </c>
      <c r="C115" s="14" t="s">
        <v>90</v>
      </c>
      <c r="D115" s="1" cm="1">
        <f t="array" ref="D115">INDEX(Nodes!$A:$A,MATCH(E115,Nodes!$D:$D,0))</f>
        <v>76</v>
      </c>
      <c r="E115" s="14" t="s">
        <v>93</v>
      </c>
      <c r="F115">
        <v>198.477413413963</v>
      </c>
      <c r="G115" s="10">
        <f t="shared" si="4"/>
        <v>0.980346955455336</v>
      </c>
      <c r="H115" s="1" t="s">
        <v>114</v>
      </c>
      <c r="I115" t="str">
        <f>_xlfn.XLOOKUP(C115,Nodes!$D:$D,Nodes!$E:$E)</f>
        <v>United Kingdom</v>
      </c>
      <c r="J115" t="str">
        <f>_xlfn.XLOOKUP(E115,Nodes!$D:$D,Nodes!$E:$E)</f>
        <v>United Kingdom</v>
      </c>
      <c r="K115" s="4"/>
    </row>
    <row r="116" spans="1:11">
      <c r="A116">
        <v>115</v>
      </c>
      <c r="B116" s="1" cm="1">
        <f t="array" ref="B116">INDEX(Nodes!$A:$A,MATCH(C116,Nodes!$D:$D,0))</f>
        <v>72</v>
      </c>
      <c r="C116" s="14" t="s">
        <v>88</v>
      </c>
      <c r="D116" s="1" cm="1">
        <f t="array" ref="D116">INDEX(Nodes!$A:$A,MATCH(E116,Nodes!$D:$D,0))</f>
        <v>77</v>
      </c>
      <c r="E116" t="s">
        <v>94</v>
      </c>
      <c r="F116">
        <v>111.730577456405</v>
      </c>
      <c r="G116" s="10">
        <f t="shared" si="4"/>
        <v>0.988888576560598</v>
      </c>
      <c r="H116" s="1" t="s">
        <v>114</v>
      </c>
      <c r="I116" t="str">
        <f>_xlfn.XLOOKUP(C116,Nodes!$D:$D,Nodes!$E:$E)</f>
        <v>United Kingdom</v>
      </c>
      <c r="J116" t="str">
        <f>_xlfn.XLOOKUP(E116,Nodes!$D:$D,Nodes!$E:$E)</f>
        <v>United Kingdom</v>
      </c>
      <c r="K116" s="4"/>
    </row>
    <row r="117" spans="1:11">
      <c r="A117">
        <v>116</v>
      </c>
      <c r="B117" s="1" cm="1">
        <f t="array" ref="B117">INDEX(Nodes!$A:$A,MATCH(C117,Nodes!$D:$D,0))</f>
        <v>72</v>
      </c>
      <c r="C117" t="s">
        <v>88</v>
      </c>
      <c r="D117" s="1" cm="1">
        <f t="array" ref="D117">INDEX(Nodes!$A:$A,MATCH(E117,Nodes!$D:$D,0))</f>
        <v>73</v>
      </c>
      <c r="E117" s="14" t="s">
        <v>90</v>
      </c>
      <c r="F117" s="14">
        <v>238.797736309102</v>
      </c>
      <c r="G117" s="10">
        <f t="shared" si="4"/>
        <v>0.976401926208804</v>
      </c>
      <c r="H117" s="1" t="s">
        <v>114</v>
      </c>
      <c r="I117" t="str">
        <f>_xlfn.XLOOKUP(C117,Nodes!$D:$D,Nodes!$E:$E)</f>
        <v>United Kingdom</v>
      </c>
      <c r="J117" t="str">
        <f>_xlfn.XLOOKUP(E117,Nodes!$D:$D,Nodes!$E:$E)</f>
        <v>United Kingdom</v>
      </c>
      <c r="K117" s="4"/>
    </row>
    <row r="118" spans="1:11">
      <c r="A118">
        <v>117</v>
      </c>
      <c r="B118" s="1" cm="1">
        <f t="array" ref="B118">INDEX(Nodes!$A:$A,MATCH(C118,Nodes!$D:$D,0))</f>
        <v>78</v>
      </c>
      <c r="C118" t="s">
        <v>95</v>
      </c>
      <c r="D118" s="1" cm="1">
        <f t="array" ref="D118">INDEX(Nodes!$A:$A,MATCH(E118,Nodes!$D:$D,0))</f>
        <v>77</v>
      </c>
      <c r="E118" t="s">
        <v>94</v>
      </c>
      <c r="F118">
        <v>119.604345679553</v>
      </c>
      <c r="G118" s="10">
        <f t="shared" si="4"/>
        <v>0.988110216168575</v>
      </c>
      <c r="H118" s="1" t="s">
        <v>114</v>
      </c>
      <c r="I118" t="str">
        <f>_xlfn.XLOOKUP(C118,Nodes!$D:$D,Nodes!$E:$E)</f>
        <v>United Kingdom</v>
      </c>
      <c r="J118" t="str">
        <f>_xlfn.XLOOKUP(E118,Nodes!$D:$D,Nodes!$E:$E)</f>
        <v>United Kingdom</v>
      </c>
      <c r="K118" s="4"/>
    </row>
    <row r="119" spans="1:11">
      <c r="A119">
        <v>118</v>
      </c>
      <c r="B119" s="1" cm="1">
        <f t="array" ref="B119">INDEX(Nodes!$A:$A,MATCH(C119,Nodes!$D:$D,0))</f>
        <v>78</v>
      </c>
      <c r="C119" t="s">
        <v>95</v>
      </c>
      <c r="D119" s="1" cm="1">
        <f t="array" ref="D119">INDEX(Nodes!$A:$A,MATCH(E119,Nodes!$D:$D,0))</f>
        <v>76</v>
      </c>
      <c r="E119" s="14" t="s">
        <v>93</v>
      </c>
      <c r="F119">
        <v>111.444606582878</v>
      </c>
      <c r="G119" s="10">
        <f t="shared" si="4"/>
        <v>0.988916857712062</v>
      </c>
      <c r="H119" s="1" t="s">
        <v>114</v>
      </c>
      <c r="I119" t="str">
        <f>_xlfn.XLOOKUP(C119,Nodes!$D:$D,Nodes!$E:$E)</f>
        <v>United Kingdom</v>
      </c>
      <c r="J119" t="str">
        <f>_xlfn.XLOOKUP(E119,Nodes!$D:$D,Nodes!$E:$E)</f>
        <v>United Kingdom</v>
      </c>
      <c r="K119" s="4"/>
    </row>
    <row r="120" spans="1:11">
      <c r="A120">
        <v>119</v>
      </c>
      <c r="B120" s="1" cm="1">
        <f t="array" ref="B120">INDEX(Nodes!$A:$A,MATCH(C120,Nodes!$D:$D,0))</f>
        <v>72</v>
      </c>
      <c r="C120" s="14" t="s">
        <v>88</v>
      </c>
      <c r="D120" s="1" cm="1">
        <f t="array" ref="D120">INDEX(Nodes!$A:$A,MATCH(E120,Nodes!$D:$D,0))</f>
        <v>78</v>
      </c>
      <c r="E120" t="s">
        <v>95</v>
      </c>
      <c r="F120">
        <v>23.0230956805167</v>
      </c>
      <c r="G120" s="10">
        <f t="shared" si="4"/>
        <v>0.997700223855442</v>
      </c>
      <c r="H120" s="1" t="s">
        <v>114</v>
      </c>
      <c r="I120" t="str">
        <f>_xlfn.XLOOKUP(C120,Nodes!$D:$D,Nodes!$E:$E)</f>
        <v>United Kingdom</v>
      </c>
      <c r="J120" t="str">
        <f>_xlfn.XLOOKUP(E120,Nodes!$D:$D,Nodes!$E:$E)</f>
        <v>United Kingdom</v>
      </c>
      <c r="K120" s="4"/>
    </row>
    <row r="121" spans="1:11">
      <c r="A121">
        <v>120</v>
      </c>
      <c r="B121" s="1" cm="1">
        <f t="array" ref="B121">INDEX(Nodes!$A:$A,MATCH(C121,Nodes!$D:$D,0))</f>
        <v>76</v>
      </c>
      <c r="C121" s="14" t="s">
        <v>93</v>
      </c>
      <c r="D121" s="1" cm="1">
        <f t="array" ref="D121">INDEX(Nodes!$A:$A,MATCH(E121,Nodes!$D:$D,0))</f>
        <v>79</v>
      </c>
      <c r="E121" s="15" t="s">
        <v>96</v>
      </c>
      <c r="F121">
        <v>70.9421877264432</v>
      </c>
      <c r="G121" s="10">
        <f t="shared" si="4"/>
        <v>0.992930533569639</v>
      </c>
      <c r="H121" s="1" t="s">
        <v>114</v>
      </c>
      <c r="I121" t="str">
        <f>_xlfn.XLOOKUP(C121,Nodes!$D:$D,Nodes!$E:$E)</f>
        <v>United Kingdom</v>
      </c>
      <c r="J121" t="str">
        <f>_xlfn.XLOOKUP(E121,Nodes!$D:$D,Nodes!$E:$E)</f>
        <v>United Kingdom</v>
      </c>
      <c r="K121" s="4"/>
    </row>
    <row r="122" spans="1:11">
      <c r="A122">
        <v>121</v>
      </c>
      <c r="B122" s="1" cm="1">
        <f t="array" ref="B122">INDEX(Nodes!$A:$A,MATCH(C122,Nodes!$D:$D,0))</f>
        <v>77</v>
      </c>
      <c r="C122" t="s">
        <v>94</v>
      </c>
      <c r="D122" s="1" cm="1">
        <f t="array" ref="D122">INDEX(Nodes!$A:$A,MATCH(E122,Nodes!$D:$D,0))</f>
        <v>79</v>
      </c>
      <c r="E122" s="15" t="s">
        <v>96</v>
      </c>
      <c r="F122">
        <v>101.085367190583</v>
      </c>
      <c r="G122" s="10">
        <f t="shared" si="4"/>
        <v>0.989941882443122</v>
      </c>
      <c r="H122" s="1" t="s">
        <v>114</v>
      </c>
      <c r="I122" t="str">
        <f>_xlfn.XLOOKUP(C122,Nodes!$D:$D,Nodes!$E:$E)</f>
        <v>United Kingdom</v>
      </c>
      <c r="J122" t="str">
        <f>_xlfn.XLOOKUP(E122,Nodes!$D:$D,Nodes!$E:$E)</f>
        <v>United Kingdom</v>
      </c>
      <c r="K122" s="4"/>
    </row>
    <row r="123" spans="1:11">
      <c r="A123">
        <v>122</v>
      </c>
      <c r="B123" s="1" cm="1">
        <f t="array" ref="B123">INDEX(Nodes!$A:$A,MATCH(C123,Nodes!$D:$D,0))</f>
        <v>72</v>
      </c>
      <c r="C123" s="14" t="s">
        <v>88</v>
      </c>
      <c r="D123" s="1" cm="1">
        <f t="array" ref="D123">INDEX(Nodes!$A:$A,MATCH(E123,Nodes!$D:$D,0))</f>
        <v>79</v>
      </c>
      <c r="E123" s="15" t="s">
        <v>96</v>
      </c>
      <c r="F123">
        <v>18.4554295334462</v>
      </c>
      <c r="G123" s="10">
        <f t="shared" si="4"/>
        <v>0.998156066900733</v>
      </c>
      <c r="H123" s="1" t="s">
        <v>114</v>
      </c>
      <c r="I123" t="str">
        <f>_xlfn.XLOOKUP(C123,Nodes!$D:$D,Nodes!$E:$E)</f>
        <v>United Kingdom</v>
      </c>
      <c r="J123" t="str">
        <f>_xlfn.XLOOKUP(E123,Nodes!$D:$D,Nodes!$E:$E)</f>
        <v>United Kingdom</v>
      </c>
      <c r="K123" s="4"/>
    </row>
    <row r="124" spans="1:11">
      <c r="A124">
        <v>123</v>
      </c>
      <c r="B124" s="1" cm="1">
        <f t="array" ref="B124">INDEX(Nodes!$A:$A,MATCH(C124,Nodes!$D:$D,0))</f>
        <v>73</v>
      </c>
      <c r="C124" s="14" t="s">
        <v>90</v>
      </c>
      <c r="D124" s="1" cm="1">
        <f t="array" ref="D124">INDEX(Nodes!$A:$A,MATCH(E124,Nodes!$D:$D,0))</f>
        <v>79</v>
      </c>
      <c r="E124" s="15" t="s">
        <v>96</v>
      </c>
      <c r="F124">
        <v>233.318397823404</v>
      </c>
      <c r="G124" s="10">
        <f t="shared" si="4"/>
        <v>0.976937103240695</v>
      </c>
      <c r="H124" s="1" t="s">
        <v>114</v>
      </c>
      <c r="I124" t="str">
        <f>_xlfn.XLOOKUP(C124,Nodes!$D:$D,Nodes!$E:$E)</f>
        <v>United Kingdom</v>
      </c>
      <c r="J124" t="str">
        <f>_xlfn.XLOOKUP(E124,Nodes!$D:$D,Nodes!$E:$E)</f>
        <v>United Kingdom</v>
      </c>
      <c r="K124" s="4"/>
    </row>
    <row r="125" spans="1:11">
      <c r="A125">
        <v>124</v>
      </c>
      <c r="B125" s="1" cm="1">
        <f t="array" ref="B125">INDEX(Nodes!$A:$A,MATCH(C125,Nodes!$D:$D,0))</f>
        <v>73</v>
      </c>
      <c r="C125" s="14" t="s">
        <v>90</v>
      </c>
      <c r="D125" s="1" cm="1">
        <f t="array" ref="D125">INDEX(Nodes!$A:$A,MATCH(E125,Nodes!$D:$D,0))</f>
        <v>80</v>
      </c>
      <c r="E125" t="s">
        <v>97</v>
      </c>
      <c r="F125">
        <v>609.332027894996</v>
      </c>
      <c r="G125" s="10">
        <f t="shared" si="4"/>
        <v>0.940883219496082</v>
      </c>
      <c r="H125" s="1" t="s">
        <v>114</v>
      </c>
      <c r="I125" t="str">
        <f>_xlfn.XLOOKUP(C125,Nodes!$D:$D,Nodes!$E:$E)</f>
        <v>United Kingdom</v>
      </c>
      <c r="J125" t="str">
        <f>_xlfn.XLOOKUP(E125,Nodes!$D:$D,Nodes!$E:$E)</f>
        <v>United Kingdom</v>
      </c>
      <c r="K125" s="4"/>
    </row>
    <row r="126" spans="1:11">
      <c r="A126">
        <v>125</v>
      </c>
      <c r="B126" s="1" cm="1">
        <f t="array" ref="B126">INDEX(Nodes!$A:$A,MATCH(C126,Nodes!$D:$D,0))</f>
        <v>74</v>
      </c>
      <c r="C126" s="14" t="s">
        <v>91</v>
      </c>
      <c r="D126" s="1" cm="1">
        <f t="array" ref="D126">INDEX(Nodes!$A:$A,MATCH(E126,Nodes!$D:$D,0))</f>
        <v>80</v>
      </c>
      <c r="E126" t="s">
        <v>97</v>
      </c>
      <c r="F126">
        <v>101.930735661268</v>
      </c>
      <c r="G126" s="10">
        <f t="shared" si="4"/>
        <v>0.989858195230546</v>
      </c>
      <c r="H126" s="1" t="s">
        <v>114</v>
      </c>
      <c r="I126" t="str">
        <f>_xlfn.XLOOKUP(C126,Nodes!$D:$D,Nodes!$E:$E)</f>
        <v>United Kingdom</v>
      </c>
      <c r="J126" t="str">
        <f>_xlfn.XLOOKUP(E126,Nodes!$D:$D,Nodes!$E:$E)</f>
        <v>United Kingdom</v>
      </c>
      <c r="K126" s="4"/>
    </row>
    <row r="127" spans="1:11">
      <c r="A127">
        <v>126</v>
      </c>
      <c r="B127" s="1" cm="1">
        <f t="array" ref="B127">INDEX(Nodes!$A:$A,MATCH(C127,Nodes!$D:$D,0))</f>
        <v>85</v>
      </c>
      <c r="C127" s="14" t="s">
        <v>103</v>
      </c>
      <c r="D127" s="1" cm="1">
        <f t="array" ref="D127">INDEX(Nodes!$A:$A,MATCH(E127,Nodes!$D:$D,0))</f>
        <v>87</v>
      </c>
      <c r="E127" s="14" t="s">
        <v>105</v>
      </c>
      <c r="F127" s="14">
        <v>105.721174313766</v>
      </c>
      <c r="G127" s="10">
        <f t="shared" si="4"/>
        <v>0.989483047899636</v>
      </c>
      <c r="H127" s="1" t="s">
        <v>114</v>
      </c>
      <c r="I127" t="str">
        <f>_xlfn.XLOOKUP(C127,Nodes!$D:$D,Nodes!$E:$E)</f>
        <v>Portugal</v>
      </c>
      <c r="J127" t="str">
        <f>_xlfn.XLOOKUP(E127,Nodes!$D:$D,Nodes!$E:$E)</f>
        <v>Portugal</v>
      </c>
      <c r="K127" s="4"/>
    </row>
    <row r="128" spans="1:11">
      <c r="A128">
        <v>127</v>
      </c>
      <c r="B128" s="1" cm="1">
        <f t="array" ref="B128">INDEX(Nodes!$A:$A,MATCH(C128,Nodes!$D:$D,0))</f>
        <v>85</v>
      </c>
      <c r="C128" s="14" t="s">
        <v>103</v>
      </c>
      <c r="D128" s="1" cm="1">
        <f t="array" ref="D128">INDEX(Nodes!$A:$A,MATCH(E128,Nodes!$D:$D,0))</f>
        <v>82</v>
      </c>
      <c r="E128" s="14" t="s">
        <v>100</v>
      </c>
      <c r="F128" s="14">
        <v>116.660881544439</v>
      </c>
      <c r="G128" s="10">
        <f t="shared" si="4"/>
        <v>0.988401120223485</v>
      </c>
      <c r="H128" s="1" t="s">
        <v>114</v>
      </c>
      <c r="I128" t="str">
        <f>_xlfn.XLOOKUP(C128,Nodes!$D:$D,Nodes!$E:$E)</f>
        <v>Portugal</v>
      </c>
      <c r="J128" t="str">
        <f>_xlfn.XLOOKUP(E128,Nodes!$D:$D,Nodes!$E:$E)</f>
        <v>Portugal</v>
      </c>
      <c r="K128" s="4"/>
    </row>
    <row r="129" spans="1:11">
      <c r="A129">
        <v>128</v>
      </c>
      <c r="B129" s="1" cm="1">
        <f t="array" ref="B129">INDEX(Nodes!$A:$A,MATCH(C129,Nodes!$D:$D,0))</f>
        <v>87</v>
      </c>
      <c r="C129" s="14" t="s">
        <v>105</v>
      </c>
      <c r="D129" s="1" cm="1">
        <f t="array" ref="D129">INDEX(Nodes!$A:$A,MATCH(E129,Nodes!$D:$D,0))</f>
        <v>83</v>
      </c>
      <c r="E129" s="14" t="s">
        <v>101</v>
      </c>
      <c r="F129" s="14">
        <v>165.909315256897</v>
      </c>
      <c r="G129" s="10">
        <f t="shared" si="4"/>
        <v>0.98354512404017</v>
      </c>
      <c r="H129" s="1" t="s">
        <v>114</v>
      </c>
      <c r="I129" t="str">
        <f>_xlfn.XLOOKUP(C129,Nodes!$D:$D,Nodes!$E:$E)</f>
        <v>Portugal</v>
      </c>
      <c r="J129" t="str">
        <f>_xlfn.XLOOKUP(E129,Nodes!$D:$D,Nodes!$E:$E)</f>
        <v>Portugal</v>
      </c>
      <c r="K129" s="4"/>
    </row>
    <row r="130" spans="1:11">
      <c r="A130">
        <v>129</v>
      </c>
      <c r="B130" s="1" cm="1">
        <f t="array" ref="B130">INDEX(Nodes!$A:$A,MATCH(C130,Nodes!$D:$D,0))</f>
        <v>87</v>
      </c>
      <c r="C130" s="14" t="s">
        <v>105</v>
      </c>
      <c r="D130" s="1" cm="1">
        <f t="array" ref="D130">INDEX(Nodes!$A:$A,MATCH(E130,Nodes!$D:$D,0))</f>
        <v>84</v>
      </c>
      <c r="E130" s="14" t="s">
        <v>102</v>
      </c>
      <c r="F130" s="14">
        <v>86.0422924530701</v>
      </c>
      <c r="G130" s="10">
        <f t="shared" si="4"/>
        <v>0.991432254643266</v>
      </c>
      <c r="H130" s="1" t="s">
        <v>114</v>
      </c>
      <c r="I130" t="str">
        <f>_xlfn.XLOOKUP(C130,Nodes!$D:$D,Nodes!$E:$E)</f>
        <v>Portugal</v>
      </c>
      <c r="J130" t="str">
        <f>_xlfn.XLOOKUP(E130,Nodes!$D:$D,Nodes!$E:$E)</f>
        <v>Portugal</v>
      </c>
      <c r="K130" s="4"/>
    </row>
    <row r="131" spans="1:11">
      <c r="A131">
        <v>130</v>
      </c>
      <c r="B131" s="1" cm="1">
        <f t="array" ref="B131">INDEX(Nodes!$A:$A,MATCH(C131,Nodes!$D:$D,0))</f>
        <v>82</v>
      </c>
      <c r="C131" s="14" t="s">
        <v>100</v>
      </c>
      <c r="D131" s="1" cm="1">
        <f t="array" ref="D131">INDEX(Nodes!$A:$A,MATCH(E131,Nodes!$D:$D,0))</f>
        <v>84</v>
      </c>
      <c r="E131" s="14" t="s">
        <v>102</v>
      </c>
      <c r="F131" s="14">
        <v>70.175819762463</v>
      </c>
      <c r="G131" s="10">
        <f t="shared" si="4"/>
        <v>0.993006635305988</v>
      </c>
      <c r="H131" s="1" t="s">
        <v>114</v>
      </c>
      <c r="I131" t="str">
        <f>_xlfn.XLOOKUP(C131,Nodes!$D:$D,Nodes!$E:$E)</f>
        <v>Portugal</v>
      </c>
      <c r="J131" t="str">
        <f>_xlfn.XLOOKUP(E131,Nodes!$D:$D,Nodes!$E:$E)</f>
        <v>Portugal</v>
      </c>
      <c r="K131" s="4"/>
    </row>
    <row r="132" spans="1:11">
      <c r="A132">
        <v>131</v>
      </c>
      <c r="B132" s="1" cm="1">
        <f t="array" ref="B132">INDEX(Nodes!$A:$A,MATCH(C132,Nodes!$D:$D,0))</f>
        <v>84</v>
      </c>
      <c r="C132" s="14" t="s">
        <v>102</v>
      </c>
      <c r="D132" s="1" cm="1">
        <f t="array" ref="D132">INDEX(Nodes!$A:$A,MATCH(E132,Nodes!$D:$D,0))</f>
        <v>81</v>
      </c>
      <c r="E132" s="14" t="s">
        <v>98</v>
      </c>
      <c r="F132" s="14">
        <v>150.834266690821</v>
      </c>
      <c r="G132" s="10">
        <f t="shared" si="4"/>
        <v>0.985029015492914</v>
      </c>
      <c r="H132" s="1" t="s">
        <v>114</v>
      </c>
      <c r="I132" t="str">
        <f>_xlfn.XLOOKUP(C132,Nodes!$D:$D,Nodes!$E:$E)</f>
        <v>Portugal</v>
      </c>
      <c r="J132" t="str">
        <f>_xlfn.XLOOKUP(E132,Nodes!$D:$D,Nodes!$E:$E)</f>
        <v>Portugal</v>
      </c>
      <c r="K132" s="4"/>
    </row>
    <row r="133" spans="1:11">
      <c r="A133">
        <v>132</v>
      </c>
      <c r="B133" s="1" cm="1">
        <f t="array" ref="B133">INDEX(Nodes!$A:$A,MATCH(C133,Nodes!$D:$D,0))</f>
        <v>83</v>
      </c>
      <c r="C133" s="14" t="s">
        <v>101</v>
      </c>
      <c r="D133" s="1" cm="1">
        <f t="array" ref="D133">INDEX(Nodes!$A:$A,MATCH(E133,Nodes!$D:$D,0))</f>
        <v>88</v>
      </c>
      <c r="E133" s="14" t="s">
        <v>106</v>
      </c>
      <c r="F133" s="14">
        <v>115.487054177831</v>
      </c>
      <c r="G133" s="10">
        <f t="shared" si="4"/>
        <v>0.988517154063736</v>
      </c>
      <c r="H133" s="1" t="s">
        <v>114</v>
      </c>
      <c r="I133" t="str">
        <f>_xlfn.XLOOKUP(C133,Nodes!$D:$D,Nodes!$E:$E)</f>
        <v>Portugal</v>
      </c>
      <c r="J133" t="str">
        <f>_xlfn.XLOOKUP(E133,Nodes!$D:$D,Nodes!$E:$E)</f>
        <v>Portugal</v>
      </c>
      <c r="K133" s="4"/>
    </row>
    <row r="134" spans="1:11">
      <c r="A134">
        <v>133</v>
      </c>
      <c r="B134" s="1" cm="1">
        <f t="array" ref="B134">INDEX(Nodes!$A:$A,MATCH(C134,Nodes!$D:$D,0))</f>
        <v>83</v>
      </c>
      <c r="C134" s="14" t="s">
        <v>101</v>
      </c>
      <c r="D134" s="1" cm="1">
        <f t="array" ref="D134">INDEX(Nodes!$A:$A,MATCH(E134,Nodes!$D:$D,0))</f>
        <v>81</v>
      </c>
      <c r="E134" s="14" t="s">
        <v>98</v>
      </c>
      <c r="F134" s="14">
        <v>77.0611972125991</v>
      </c>
      <c r="G134" s="10">
        <f t="shared" si="4"/>
        <v>0.992323113922033</v>
      </c>
      <c r="H134" s="1" t="s">
        <v>114</v>
      </c>
      <c r="I134" t="str">
        <f>_xlfn.XLOOKUP(C134,Nodes!$D:$D,Nodes!$E:$E)</f>
        <v>Portugal</v>
      </c>
      <c r="J134" t="str">
        <f>_xlfn.XLOOKUP(E134,Nodes!$D:$D,Nodes!$E:$E)</f>
        <v>Portugal</v>
      </c>
      <c r="K134" s="4"/>
    </row>
    <row r="135" spans="1:11">
      <c r="A135">
        <v>134</v>
      </c>
      <c r="B135" s="1" cm="1">
        <f t="array" ref="B135">INDEX(Nodes!$A:$A,MATCH(C135,Nodes!$D:$D,0))</f>
        <v>81</v>
      </c>
      <c r="C135" s="14" t="s">
        <v>98</v>
      </c>
      <c r="D135" s="1" cm="1">
        <f t="array" ref="D135">INDEX(Nodes!$A:$A,MATCH(E135,Nodes!$D:$D,0))</f>
        <v>86</v>
      </c>
      <c r="E135" s="14" t="s">
        <v>104</v>
      </c>
      <c r="F135" s="14">
        <v>85.0628763068771</v>
      </c>
      <c r="G135" s="10">
        <f t="shared" si="4"/>
        <v>0.991529366730337</v>
      </c>
      <c r="H135" s="1" t="s">
        <v>114</v>
      </c>
      <c r="I135" t="str">
        <f>_xlfn.XLOOKUP(C135,Nodes!$D:$D,Nodes!$E:$E)</f>
        <v>Portugal</v>
      </c>
      <c r="J135" t="str">
        <f>_xlfn.XLOOKUP(E135,Nodes!$D:$D,Nodes!$E:$E)</f>
        <v>Portugal</v>
      </c>
      <c r="K135" s="4"/>
    </row>
    <row r="136" spans="1:11">
      <c r="A136">
        <v>135</v>
      </c>
      <c r="B136" s="1" cm="1">
        <f t="array" ref="B136">INDEX(Nodes!$A:$A,MATCH(C136,Nodes!$D:$D,0))</f>
        <v>86</v>
      </c>
      <c r="C136" s="14" t="s">
        <v>104</v>
      </c>
      <c r="D136" s="1" cm="1">
        <f t="array" ref="D136">INDEX(Nodes!$A:$A,MATCH(E136,Nodes!$D:$D,0))</f>
        <v>88</v>
      </c>
      <c r="E136" s="14" t="s">
        <v>106</v>
      </c>
      <c r="F136" s="14">
        <v>43.9857316249099</v>
      </c>
      <c r="G136" s="10">
        <f t="shared" si="4"/>
        <v>0.995610867414515</v>
      </c>
      <c r="H136" s="1" t="s">
        <v>114</v>
      </c>
      <c r="I136" t="str">
        <f>_xlfn.XLOOKUP(C136,Nodes!$D:$D,Nodes!$E:$E)</f>
        <v>Portugal</v>
      </c>
      <c r="J136" t="str">
        <f>_xlfn.XLOOKUP(E136,Nodes!$D:$D,Nodes!$E:$E)</f>
        <v>Portugal</v>
      </c>
      <c r="K136" s="4"/>
    </row>
    <row r="137" spans="1:11">
      <c r="A137">
        <v>136</v>
      </c>
      <c r="B137" s="1" cm="1">
        <f t="array" ref="B137">INDEX(Nodes!$A:$A,MATCH(C137,Nodes!$D:$D,0))</f>
        <v>44</v>
      </c>
      <c r="C137" t="s">
        <v>56</v>
      </c>
      <c r="D137" s="1" cm="1">
        <f t="array" ref="D137">INDEX(Nodes!$A:$A,MATCH(E137,Nodes!$D:$D,0))</f>
        <v>67</v>
      </c>
      <c r="E137" t="s">
        <v>82</v>
      </c>
      <c r="F137" s="14">
        <v>259.84965666159</v>
      </c>
      <c r="G137" s="10">
        <f t="shared" ref="G137:G155" si="5">(0.9999)^F137</f>
        <v>0.974348472192075</v>
      </c>
      <c r="H137" s="1" t="s">
        <v>114</v>
      </c>
      <c r="I137" t="str">
        <f>_xlfn.XLOOKUP(C137,Nodes!$D:$D,Nodes!$E:$E)</f>
        <v>Netherlands</v>
      </c>
      <c r="J137" t="str">
        <f>_xlfn.XLOOKUP(E137,Nodes!$D:$D,Nodes!$E:$E)</f>
        <v>Belgium</v>
      </c>
    </row>
    <row r="138" spans="1:11">
      <c r="A138">
        <v>137</v>
      </c>
      <c r="B138" s="1" cm="1">
        <f t="array" ref="B138">INDEX(Nodes!$A:$A,MATCH(C138,Nodes!$D:$D,0))</f>
        <v>44</v>
      </c>
      <c r="C138" t="s">
        <v>56</v>
      </c>
      <c r="D138" s="1" cm="1">
        <f t="array" ref="D138">INDEX(Nodes!$A:$A,MATCH(E138,Nodes!$D:$D,0))</f>
        <v>80</v>
      </c>
      <c r="E138" t="s">
        <v>97</v>
      </c>
      <c r="F138" s="14">
        <v>1067.16100717606</v>
      </c>
      <c r="G138" s="10">
        <f t="shared" si="5"/>
        <v>0.898776003971503</v>
      </c>
      <c r="H138" s="1" t="s">
        <v>114</v>
      </c>
      <c r="I138" t="str">
        <f>_xlfn.XLOOKUP(C138,Nodes!$D:$D,Nodes!$E:$E)</f>
        <v>Netherlands</v>
      </c>
      <c r="J138" t="str">
        <f>_xlfn.XLOOKUP(E138,Nodes!$D:$D,Nodes!$E:$E)</f>
        <v>United Kingdom</v>
      </c>
    </row>
    <row r="139" spans="1:11">
      <c r="A139">
        <v>138</v>
      </c>
      <c r="B139" s="1" cm="1">
        <f t="array" ref="B139">INDEX(Nodes!$A:$A,MATCH(C139,Nodes!$D:$D,0))</f>
        <v>44</v>
      </c>
      <c r="C139" t="s">
        <v>56</v>
      </c>
      <c r="D139" s="1" cm="1">
        <f t="array" ref="D139">INDEX(Nodes!$A:$A,MATCH(E139,Nodes!$D:$D,0))</f>
        <v>3</v>
      </c>
      <c r="E139" t="s">
        <v>13</v>
      </c>
      <c r="F139" s="14">
        <v>551.932850462205</v>
      </c>
      <c r="G139" s="10">
        <f t="shared" si="5"/>
        <v>0.946299612559775</v>
      </c>
      <c r="H139" s="1" t="s">
        <v>114</v>
      </c>
      <c r="I139" t="str">
        <f>_xlfn.XLOOKUP(C139,Nodes!$D:$D,Nodes!$E:$E)</f>
        <v>Netherlands</v>
      </c>
      <c r="J139" t="str">
        <f>_xlfn.XLOOKUP(E139,Nodes!$D:$D,Nodes!$E:$E)</f>
        <v>Germany</v>
      </c>
    </row>
    <row r="140" spans="1:11">
      <c r="A140">
        <v>139</v>
      </c>
      <c r="B140" s="1" cm="1">
        <f t="array" ref="B140">INDEX(Nodes!$A:$A,MATCH(C140,Nodes!$D:$D,0))</f>
        <v>44</v>
      </c>
      <c r="C140" t="s">
        <v>56</v>
      </c>
      <c r="D140" s="1" cm="1">
        <f t="array" ref="D140">INDEX(Nodes!$A:$A,MATCH(E140,Nodes!$D:$D,0))</f>
        <v>72</v>
      </c>
      <c r="E140" t="s">
        <v>88</v>
      </c>
      <c r="F140" s="14">
        <v>540.296927603855</v>
      </c>
      <c r="G140" s="10">
        <f t="shared" si="5"/>
        <v>0.94740141548047</v>
      </c>
      <c r="H140" s="1" t="s">
        <v>114</v>
      </c>
      <c r="I140" t="str">
        <f>_xlfn.XLOOKUP(C140,Nodes!$D:$D,Nodes!$E:$E)</f>
        <v>Netherlands</v>
      </c>
      <c r="J140" t="str">
        <f>_xlfn.XLOOKUP(E140,Nodes!$D:$D,Nodes!$E:$E)</f>
        <v>United Kingdom</v>
      </c>
    </row>
    <row r="141" spans="1:11">
      <c r="A141">
        <v>140</v>
      </c>
      <c r="B141" s="1" cm="1">
        <f t="array" ref="B141">INDEX(Nodes!$A:$A,MATCH(C141,Nodes!$D:$D,0))</f>
        <v>55</v>
      </c>
      <c r="C141" s="14" t="s">
        <v>69</v>
      </c>
      <c r="D141" s="1" cm="1">
        <f t="array" ref="D141">INDEX(Nodes!$A:$A,MATCH(E141,Nodes!$D:$D,0))</f>
        <v>35</v>
      </c>
      <c r="E141" s="14" t="s">
        <v>46</v>
      </c>
      <c r="F141" s="14">
        <v>508.186114936554</v>
      </c>
      <c r="G141" s="10">
        <f t="shared" si="5"/>
        <v>0.950448640606878</v>
      </c>
      <c r="H141" s="1" t="s">
        <v>114</v>
      </c>
      <c r="I141" t="str">
        <f>_xlfn.XLOOKUP(C141,Nodes!$D:$D,Nodes!$E:$E)</f>
        <v>Spain</v>
      </c>
      <c r="J141" t="str">
        <f>_xlfn.XLOOKUP(E141,Nodes!$D:$D,Nodes!$E:$E)</f>
        <v>France</v>
      </c>
    </row>
    <row r="142" spans="1:11">
      <c r="A142">
        <v>141</v>
      </c>
      <c r="B142" s="1" cm="1">
        <f t="array" ref="B142">INDEX(Nodes!$A:$A,MATCH(C142,Nodes!$D:$D,0))</f>
        <v>33</v>
      </c>
      <c r="C142" s="14" t="s">
        <v>44</v>
      </c>
      <c r="D142" s="1" cm="1">
        <f t="array" ref="D142">INDEX(Nodes!$A:$A,MATCH(E142,Nodes!$D:$D,0))</f>
        <v>58</v>
      </c>
      <c r="E142" s="14" t="s">
        <v>72</v>
      </c>
      <c r="F142" s="14">
        <v>833.71428447831</v>
      </c>
      <c r="G142" s="10">
        <f t="shared" si="5"/>
        <v>0.920005530727155</v>
      </c>
      <c r="H142" s="1" t="s">
        <v>114</v>
      </c>
      <c r="I142" t="str">
        <f>_xlfn.XLOOKUP(C142,Nodes!$D:$D,Nodes!$E:$E)</f>
        <v>France</v>
      </c>
      <c r="J142" t="str">
        <f>_xlfn.XLOOKUP(E142,Nodes!$D:$D,Nodes!$E:$E)</f>
        <v>Spain</v>
      </c>
    </row>
    <row r="143" spans="1:11">
      <c r="A143">
        <v>142</v>
      </c>
      <c r="B143" s="1" cm="1">
        <f t="array" ref="B143">INDEX(Nodes!$A:$A,MATCH(C143,Nodes!$D:$D,0))</f>
        <v>67</v>
      </c>
      <c r="C143" s="14" t="s">
        <v>82</v>
      </c>
      <c r="D143" s="1" cm="1">
        <f t="array" ref="D143">INDEX(Nodes!$A:$A,MATCH(E143,Nodes!$D:$D,0))</f>
        <v>15</v>
      </c>
      <c r="E143" s="14" t="s">
        <v>25</v>
      </c>
      <c r="F143" s="14">
        <v>263.47457585634</v>
      </c>
      <c r="G143" s="10">
        <f t="shared" si="5"/>
        <v>0.973995325096854</v>
      </c>
      <c r="H143" s="1" t="s">
        <v>114</v>
      </c>
      <c r="I143" t="str">
        <f>_xlfn.XLOOKUP(C143,Nodes!$D:$D,Nodes!$E:$E)</f>
        <v>Belgium</v>
      </c>
      <c r="J143" t="str">
        <f>_xlfn.XLOOKUP(E143,Nodes!$D:$D,Nodes!$E:$E)</f>
        <v>Germany</v>
      </c>
    </row>
    <row r="144" spans="1:11">
      <c r="A144">
        <v>143</v>
      </c>
      <c r="B144" s="1" cm="1">
        <f t="array" ref="B144">INDEX(Nodes!$A:$A,MATCH(C144,Nodes!$D:$D,0))</f>
        <v>67</v>
      </c>
      <c r="C144" s="14" t="s">
        <v>82</v>
      </c>
      <c r="D144" s="1" cm="1">
        <f t="array" ref="D144">INDEX(Nodes!$A:$A,MATCH(E144,Nodes!$D:$D,0))</f>
        <v>20</v>
      </c>
      <c r="E144" s="14" t="s">
        <v>31</v>
      </c>
      <c r="F144" s="14">
        <v>392.479271055407</v>
      </c>
      <c r="G144" s="10">
        <f t="shared" si="5"/>
        <v>0.96151040764056</v>
      </c>
      <c r="H144" s="1" t="s">
        <v>114</v>
      </c>
      <c r="I144" t="str">
        <f>_xlfn.XLOOKUP(C144,Nodes!$D:$D,Nodes!$E:$E)</f>
        <v>Belgium</v>
      </c>
      <c r="J144" t="str">
        <f>_xlfn.XLOOKUP(E144,Nodes!$D:$D,Nodes!$E:$E)</f>
        <v>France</v>
      </c>
    </row>
    <row r="145" spans="1:10">
      <c r="A145">
        <v>144</v>
      </c>
      <c r="B145" s="1" cm="1">
        <f t="array" ref="B145">INDEX(Nodes!$A:$A,MATCH(C145,Nodes!$D:$D,0))</f>
        <v>2</v>
      </c>
      <c r="C145" s="14" t="s">
        <v>11</v>
      </c>
      <c r="D145" s="1" cm="1">
        <f t="array" ref="D145">INDEX(Nodes!$A:$A,MATCH(E145,Nodes!$D:$D,0))</f>
        <v>24</v>
      </c>
      <c r="E145" s="14" t="s">
        <v>35</v>
      </c>
      <c r="F145" s="14">
        <v>271.73203043154</v>
      </c>
      <c r="G145" s="10">
        <f t="shared" si="5"/>
        <v>0.973191344669097</v>
      </c>
      <c r="H145" s="1" t="s">
        <v>114</v>
      </c>
      <c r="I145" t="str">
        <f>_xlfn.XLOOKUP(C145,Nodes!$D:$D,Nodes!$E:$E)</f>
        <v>Germany</v>
      </c>
      <c r="J145" t="str">
        <f>_xlfn.XLOOKUP(E145,Nodes!$D:$D,Nodes!$E:$E)</f>
        <v>France</v>
      </c>
    </row>
    <row r="146" spans="1:10">
      <c r="A146">
        <v>145</v>
      </c>
      <c r="B146" s="1" cm="1">
        <f t="array" ref="B146">INDEX(Nodes!$A:$A,MATCH(C146,Nodes!$D:$D,0))</f>
        <v>85</v>
      </c>
      <c r="C146" s="14" t="s">
        <v>103</v>
      </c>
      <c r="D146" s="1" cm="1">
        <f t="array" ref="D146">INDEX(Nodes!$A:$A,MATCH(E146,Nodes!$D:$D,0))</f>
        <v>72</v>
      </c>
      <c r="E146" s="14" t="s">
        <v>88</v>
      </c>
      <c r="F146" s="14">
        <v>1977.15028584433</v>
      </c>
      <c r="G146" s="10">
        <f t="shared" si="5"/>
        <v>0.820595555625294</v>
      </c>
      <c r="H146" s="1" t="s">
        <v>114</v>
      </c>
      <c r="I146" t="str">
        <f>_xlfn.XLOOKUP(C146,Nodes!$D:$D,Nodes!$E:$E)</f>
        <v>Portugal</v>
      </c>
      <c r="J146" t="str">
        <f>_xlfn.XLOOKUP(E146,Nodes!$D:$D,Nodes!$E:$E)</f>
        <v>United Kingdom</v>
      </c>
    </row>
    <row r="147" spans="1:10">
      <c r="A147">
        <v>146</v>
      </c>
      <c r="B147" s="1" cm="1">
        <f t="array" ref="B147">INDEX(Nodes!$A:$A,MATCH(C147,Nodes!$D:$D,0))</f>
        <v>85</v>
      </c>
      <c r="C147" s="14" t="s">
        <v>103</v>
      </c>
      <c r="D147" s="1" cm="1">
        <f t="array" ref="D147">INDEX(Nodes!$A:$A,MATCH(E147,Nodes!$D:$D,0))</f>
        <v>58</v>
      </c>
      <c r="E147" s="14" t="s">
        <v>72</v>
      </c>
      <c r="F147" s="14">
        <v>750.301625407684</v>
      </c>
      <c r="G147" s="10">
        <f t="shared" si="5"/>
        <v>0.927712023092086</v>
      </c>
      <c r="H147" s="1" t="s">
        <v>114</v>
      </c>
      <c r="I147" t="str">
        <f>_xlfn.XLOOKUP(C147,Nodes!$D:$D,Nodes!$E:$E)</f>
        <v>Portugal</v>
      </c>
      <c r="J147" t="str">
        <f>_xlfn.XLOOKUP(E147,Nodes!$D:$D,Nodes!$E:$E)</f>
        <v>Spain</v>
      </c>
    </row>
    <row r="148" spans="1:10">
      <c r="A148">
        <v>147</v>
      </c>
      <c r="B148" s="1" cm="1">
        <f t="array" ref="B148">INDEX(Nodes!$A:$A,MATCH(C148,Nodes!$D:$D,0))</f>
        <v>85</v>
      </c>
      <c r="C148" s="14" t="s">
        <v>103</v>
      </c>
      <c r="D148" s="1" cm="1">
        <f t="array" ref="D148">INDEX(Nodes!$A:$A,MATCH(E148,Nodes!$D:$D,0))</f>
        <v>57</v>
      </c>
      <c r="E148" s="14" t="s">
        <v>71</v>
      </c>
      <c r="F148" s="14">
        <v>470.973510825015</v>
      </c>
      <c r="G148" s="10">
        <f t="shared" si="5"/>
        <v>0.953992273992449</v>
      </c>
      <c r="H148" s="1" t="s">
        <v>114</v>
      </c>
      <c r="I148" t="str">
        <f>_xlfn.XLOOKUP(C148,Nodes!$D:$D,Nodes!$E:$E)</f>
        <v>Portugal</v>
      </c>
      <c r="J148" t="str">
        <f>_xlfn.XLOOKUP(E148,Nodes!$D:$D,Nodes!$E:$E)</f>
        <v>Spain</v>
      </c>
    </row>
    <row r="149" spans="1:10">
      <c r="A149">
        <v>148</v>
      </c>
      <c r="B149" s="1" cm="1">
        <f t="array" ref="B149">INDEX(Nodes!$A:$A,MATCH(C149,Nodes!$D:$D,0))</f>
        <v>72</v>
      </c>
      <c r="C149" s="14" t="s">
        <v>88</v>
      </c>
      <c r="D149" s="1" cm="1">
        <f t="array" ref="D149">INDEX(Nodes!$A:$A,MATCH(E149,Nodes!$D:$D,0))</f>
        <v>20</v>
      </c>
      <c r="E149" s="14" t="s">
        <v>31</v>
      </c>
      <c r="F149" s="14">
        <v>513.459330174579</v>
      </c>
      <c r="G149" s="10">
        <f t="shared" si="5"/>
        <v>0.949947555654805</v>
      </c>
      <c r="H149" s="1" t="s">
        <v>114</v>
      </c>
      <c r="I149" t="str">
        <f>_xlfn.XLOOKUP(C149,Nodes!$D:$D,Nodes!$E:$E)</f>
        <v>United Kingdom</v>
      </c>
      <c r="J149" t="str">
        <f>_xlfn.XLOOKUP(E149,Nodes!$D:$D,Nodes!$E:$E)</f>
        <v>France</v>
      </c>
    </row>
    <row r="150" spans="1:10">
      <c r="A150">
        <v>149</v>
      </c>
      <c r="B150" s="1" cm="1">
        <f t="array" ref="B150">INDEX(Nodes!$A:$A,MATCH(C150,Nodes!$D:$D,0))</f>
        <v>34</v>
      </c>
      <c r="C150" s="14" t="s">
        <v>45</v>
      </c>
      <c r="D150" s="1" cm="1">
        <f t="array" ref="D150">INDEX(Nodes!$A:$A,MATCH(E150,Nodes!$D:$D,0))</f>
        <v>62</v>
      </c>
      <c r="E150" s="1" t="s">
        <v>77</v>
      </c>
      <c r="F150" s="14">
        <v>507.639304137327</v>
      </c>
      <c r="G150" s="10">
        <f t="shared" si="5"/>
        <v>0.950500616184807</v>
      </c>
      <c r="H150" s="1" t="s">
        <v>114</v>
      </c>
      <c r="I150" t="str">
        <f>_xlfn.XLOOKUP(C150,Nodes!$D:$D,Nodes!$E:$E)</f>
        <v>France</v>
      </c>
      <c r="J150" t="str">
        <f>_xlfn.XLOOKUP(E150,Nodes!$D:$D,Nodes!$E:$E)</f>
        <v>Switzerland</v>
      </c>
    </row>
    <row r="151" spans="1:10">
      <c r="A151">
        <v>150</v>
      </c>
      <c r="B151" s="1" cm="1">
        <f t="array" ref="B151">INDEX(Nodes!$A:$A,MATCH(C151,Nodes!$D:$D,0))</f>
        <v>35</v>
      </c>
      <c r="C151" s="14" t="s">
        <v>46</v>
      </c>
      <c r="D151" s="1" cm="1">
        <f t="array" ref="D151">INDEX(Nodes!$A:$A,MATCH(E151,Nodes!$D:$D,0))</f>
        <v>41</v>
      </c>
      <c r="E151" s="14" t="s">
        <v>53</v>
      </c>
      <c r="F151" s="14">
        <v>906.672323137844</v>
      </c>
      <c r="G151" s="10">
        <f t="shared" si="5"/>
        <v>0.913317443563541</v>
      </c>
      <c r="H151" s="1" t="s">
        <v>114</v>
      </c>
      <c r="I151" t="str">
        <f>_xlfn.XLOOKUP(C151,Nodes!$D:$D,Nodes!$E:$E)</f>
        <v>France</v>
      </c>
      <c r="J151" t="str">
        <f>_xlfn.XLOOKUP(E151,Nodes!$D:$D,Nodes!$E:$E)</f>
        <v>Italy</v>
      </c>
    </row>
    <row r="152" spans="1:10">
      <c r="A152">
        <v>151</v>
      </c>
      <c r="B152" s="1" cm="1">
        <f t="array" ref="B152">INDEX(Nodes!$A:$A,MATCH(C152,Nodes!$D:$D,0))</f>
        <v>36</v>
      </c>
      <c r="C152" s="14" t="s">
        <v>47</v>
      </c>
      <c r="D152" s="1" cm="1">
        <f t="array" ref="D152">INDEX(Nodes!$A:$A,MATCH(E152,Nodes!$D:$D,0))</f>
        <v>7</v>
      </c>
      <c r="E152" s="14" t="s">
        <v>17</v>
      </c>
      <c r="F152" s="14">
        <v>521.407502620181</v>
      </c>
      <c r="G152" s="10">
        <f t="shared" si="5"/>
        <v>0.949192783209705</v>
      </c>
      <c r="H152" s="1" t="s">
        <v>114</v>
      </c>
      <c r="I152" t="str">
        <f>_xlfn.XLOOKUP(C152,Nodes!$D:$D,Nodes!$E:$E)</f>
        <v>Italy</v>
      </c>
      <c r="J152" t="str">
        <f>_xlfn.XLOOKUP(E152,Nodes!$D:$D,Nodes!$E:$E)</f>
        <v>Germany</v>
      </c>
    </row>
    <row r="153" spans="1:10">
      <c r="A153">
        <v>152</v>
      </c>
      <c r="B153" s="1" cm="1">
        <f t="array" ref="B153">INDEX(Nodes!$A:$A,MATCH(C153,Nodes!$D:$D,0))</f>
        <v>36</v>
      </c>
      <c r="C153" s="14" t="s">
        <v>47</v>
      </c>
      <c r="D153" s="1" cm="1">
        <f t="array" ref="D153">INDEX(Nodes!$A:$A,MATCH(E153,Nodes!$D:$D,0))</f>
        <v>62</v>
      </c>
      <c r="E153" s="1" t="s">
        <v>77</v>
      </c>
      <c r="F153" s="14">
        <v>326.447676528311</v>
      </c>
      <c r="G153" s="10">
        <f t="shared" si="5"/>
        <v>0.967880741717905</v>
      </c>
      <c r="H153" s="1" t="s">
        <v>114</v>
      </c>
      <c r="I153" t="str">
        <f>_xlfn.XLOOKUP(C153,Nodes!$D:$D,Nodes!$E:$E)</f>
        <v>Italy</v>
      </c>
      <c r="J153" t="str">
        <f>_xlfn.XLOOKUP(E153,Nodes!$D:$D,Nodes!$E:$E)</f>
        <v>Switzerland</v>
      </c>
    </row>
    <row r="154" spans="1:10">
      <c r="A154">
        <v>153</v>
      </c>
      <c r="B154" s="1" cm="1">
        <f t="array" ref="B154">INDEX(Nodes!$A:$A,MATCH(C154,Nodes!$D:$D,0))</f>
        <v>20</v>
      </c>
      <c r="C154" s="14" t="s">
        <v>31</v>
      </c>
      <c r="D154" s="1" cm="1">
        <f t="array" ref="D154">INDEX(Nodes!$A:$A,MATCH(E154,Nodes!$D:$D,0))</f>
        <v>24</v>
      </c>
      <c r="E154" s="14" t="s">
        <v>35</v>
      </c>
      <c r="F154" s="14">
        <v>600.37691157053</v>
      </c>
      <c r="G154" s="10">
        <f t="shared" si="5"/>
        <v>0.941726210912159</v>
      </c>
      <c r="H154" s="1" t="s">
        <v>114</v>
      </c>
      <c r="I154" t="str">
        <f>_xlfn.XLOOKUP(C154,Nodes!$D:$D,Nodes!$E:$E)</f>
        <v>France</v>
      </c>
      <c r="J154" t="str">
        <f>_xlfn.XLOOKUP(E154,Nodes!$D:$D,Nodes!$E:$E)</f>
        <v>France</v>
      </c>
    </row>
    <row r="155" spans="1:10">
      <c r="A155">
        <v>154</v>
      </c>
      <c r="B155" s="1" cm="1">
        <f t="array" ref="B155">INDEX(Nodes!$A:$A,MATCH(C155,Nodes!$D:$D,0))</f>
        <v>24</v>
      </c>
      <c r="C155" s="14" t="s">
        <v>35</v>
      </c>
      <c r="D155" s="1" cm="1">
        <f t="array" ref="D155">INDEX(Nodes!$A:$A,MATCH(E155,Nodes!$D:$D,0))</f>
        <v>62</v>
      </c>
      <c r="E155" s="1" t="s">
        <v>77</v>
      </c>
      <c r="F155" s="14">
        <v>218.272843395917</v>
      </c>
      <c r="G155" s="10">
        <f t="shared" si="5"/>
        <v>0.978408139179675</v>
      </c>
      <c r="H155" s="1" t="s">
        <v>114</v>
      </c>
      <c r="I155" t="str">
        <f>_xlfn.XLOOKUP(C155,Nodes!$D:$D,Nodes!$E:$E)</f>
        <v>France</v>
      </c>
      <c r="J155" t="str">
        <f>_xlfn.XLOOKUP(E155,Nodes!$D:$D,Nodes!$E:$E)</f>
        <v>Switzerland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 Sizhe</dc:creator>
  <cp:lastModifiedBy>csz</cp:lastModifiedBy>
  <dcterms:created xsi:type="dcterms:W3CDTF">2023-05-12T11:15:00Z</dcterms:created>
  <dcterms:modified xsi:type="dcterms:W3CDTF">2026-03-05T15:27:40Z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D87E78BFE05D4342A16FA1F1295DEE68_12</vt:lpwstr>
  </property>
  <property fmtid="{D5CDD505-2E9C-101B-9397-08002B2CF9AE}" pid="4" name="CalculationRule">
    <vt:i4>0</vt:i4>
  </property>
</Properties>
</file>