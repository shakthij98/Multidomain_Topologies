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Nodes" sheetId="1" r:id="rId1"/>
    <sheet name="Edge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<sst xmlns="http://schemas.openxmlformats.org/spreadsheetml/2006/main" count="540" uniqueCount="86">
  <si>
    <t>Node_ID</t>
  </si>
  <si>
    <t>Latitude</t>
  </si>
  <si>
    <t>Longitude</t>
  </si>
  <si>
    <t>Location Name</t>
  </si>
  <si>
    <t>Country</t>
  </si>
  <si>
    <t>Domain</t>
  </si>
  <si>
    <t>Border</t>
  </si>
  <si>
    <t>node_prob</t>
  </si>
  <si>
    <t>Hannover</t>
  </si>
  <si>
    <t>Germany</t>
  </si>
  <si>
    <t>FALSE</t>
  </si>
  <si>
    <t>Frankfurt</t>
  </si>
  <si>
    <t>Hamburg</t>
  </si>
  <si>
    <t>Norden</t>
  </si>
  <si>
    <t>Bremen</t>
  </si>
  <si>
    <t>Berlin</t>
  </si>
  <si>
    <t>Munich</t>
  </si>
  <si>
    <t>Ulm</t>
  </si>
  <si>
    <t>Nuernberg</t>
  </si>
  <si>
    <t>Stuttgart</t>
  </si>
  <si>
    <t>Karlsruhe</t>
  </si>
  <si>
    <t>Mannheim</t>
  </si>
  <si>
    <t>Essen</t>
  </si>
  <si>
    <t>Dortmund</t>
  </si>
  <si>
    <t>Dusseldorf</t>
  </si>
  <si>
    <t>Koeln</t>
  </si>
  <si>
    <t>Leipzig</t>
  </si>
  <si>
    <t>Dresden</t>
  </si>
  <si>
    <t>Bialystok</t>
  </si>
  <si>
    <t>Poland</t>
  </si>
  <si>
    <t>Bydgoszcz</t>
  </si>
  <si>
    <t>Gdansk</t>
  </si>
  <si>
    <t>Krakow</t>
  </si>
  <si>
    <t>Lodz</t>
  </si>
  <si>
    <t>Lublin</t>
  </si>
  <si>
    <t>Poznan</t>
  </si>
  <si>
    <t>Szczecin</t>
  </si>
  <si>
    <t>Warsaw</t>
  </si>
  <si>
    <t>Wroclaw</t>
  </si>
  <si>
    <t>Brno</t>
  </si>
  <si>
    <t>Czechia</t>
  </si>
  <si>
    <t>Ceska Trebova</t>
  </si>
  <si>
    <t>Ceske Budejovice</t>
  </si>
  <si>
    <t>Karlovy Vary</t>
  </si>
  <si>
    <t>Liberec</t>
  </si>
  <si>
    <t>Olomouc</t>
  </si>
  <si>
    <t>Ostrava</t>
  </si>
  <si>
    <t>Pilsen</t>
  </si>
  <si>
    <t>Prague</t>
  </si>
  <si>
    <t>Usti nad Labem</t>
  </si>
  <si>
    <t>Zlin</t>
  </si>
  <si>
    <t>Linz</t>
  </si>
  <si>
    <t>Austria</t>
  </si>
  <si>
    <t>Salzburg</t>
  </si>
  <si>
    <t>Innsbruck</t>
  </si>
  <si>
    <t>Dornbirn</t>
  </si>
  <si>
    <t>Klagenfurt</t>
  </si>
  <si>
    <t>Graz</t>
  </si>
  <si>
    <t>Vienna</t>
  </si>
  <si>
    <t>Villach</t>
  </si>
  <si>
    <t>Zvolen</t>
  </si>
  <si>
    <t>Slovakia</t>
  </si>
  <si>
    <t>Zilina</t>
  </si>
  <si>
    <t>Nove Zamky</t>
  </si>
  <si>
    <t>Nitra</t>
  </si>
  <si>
    <t>Trencin</t>
  </si>
  <si>
    <t>Prievidza</t>
  </si>
  <si>
    <t>Poprad</t>
  </si>
  <si>
    <t>Banska Bystrica</t>
  </si>
  <si>
    <t>Bratislava</t>
  </si>
  <si>
    <t>Kosice</t>
  </si>
  <si>
    <t>Presov</t>
  </si>
  <si>
    <t>Michalovce</t>
  </si>
  <si>
    <t>Edge_ID</t>
  </si>
  <si>
    <t>Source</t>
  </si>
  <si>
    <t>Src_Name</t>
  </si>
  <si>
    <t>Destination</t>
  </si>
  <si>
    <t>Dst_Name</t>
  </si>
  <si>
    <t>Computed Length (km)</t>
  </si>
  <si>
    <t>Availability</t>
  </si>
  <si>
    <t>Capacity</t>
  </si>
  <si>
    <t>src LA</t>
  </si>
  <si>
    <t>src LONG</t>
  </si>
  <si>
    <t>dst LA</t>
  </si>
  <si>
    <t>dst LONG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</si>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</sst>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ill="1" applyAlignment="1"/>
    <xf numFmtId="0" fontId="0" fillId="2" borderId="0" xfId="0" applyFill="1" applyAlignment="1"/>
    <xf numFmtId="176" fontId="0" fillId="0" borderId="0" xfId="0" applyNumberFormat="1" applyFill="1" applyAlignment="1"/>
    <xf numFmtId="0" fontId="0" fillId="2" borderId="0" xfId="0" applyFill="1" applyAlignment="1">
      <alignment vertical="center"/>
    </xf>
    <xf numFmtId="0" fontId="0" fillId="2" borderId="0" xfId="0" applyFont="1" applyFill="1" applyAlignment="1"/>
    <xf numFmtId="0" fontId="0" fillId="3" borderId="0" xfId="0" applyFont="1" applyFill="1" applyAlignment="1"/>
    <xf numFmtId="0" fontId="0" fillId="3" borderId="0" xfId="0" applyFill="1" applyAlignment="1">
      <alignment vertical="center"/>
    </xf>
    <xf numFmtId="0" fontId="0" fillId="0" borderId="0" xfId="0" applyFont="1" applyFill="1" applyAlignment="1"/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ont="1" applyFill="1" applyAlignment="1"/>
    <xf numFmtId="0" fontId="0" fillId="6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0" fillId="7" borderId="0" xfId="0" applyFill="1" applyAlignment="1"/>
    <xf numFmtId="0" fontId="0" fillId="7" borderId="0" xfId="0" applyFont="1" applyFill="1" applyAlignment="1"/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en%20Sizhe\Desktop\Bachelor%20Arbeit\pythonProject\topo\Merged_COST266_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des"/>
      <sheetName val="Edges"/>
    </sheetNames>
    <sheetDataSet>
      <sheetData sheetId="0">
        <row r="1">
          <cell r="A1" t="str">
            <v>Node_ID</v>
          </cell>
        </row>
        <row r="1">
          <cell r="D1" t="str">
            <v>Location Name</v>
          </cell>
        </row>
        <row r="2">
          <cell r="A2">
            <v>1</v>
          </cell>
        </row>
        <row r="2">
          <cell r="D2" t="str">
            <v>Hannover</v>
          </cell>
        </row>
        <row r="3">
          <cell r="A3">
            <v>2</v>
          </cell>
        </row>
        <row r="3">
          <cell r="D3" t="str">
            <v>Frankfurt</v>
          </cell>
        </row>
        <row r="4">
          <cell r="A4">
            <v>3</v>
          </cell>
        </row>
        <row r="4">
          <cell r="D4" t="str">
            <v>Hamburg</v>
          </cell>
        </row>
        <row r="5">
          <cell r="A5">
            <v>4</v>
          </cell>
        </row>
        <row r="5">
          <cell r="D5" t="str">
            <v>Norden</v>
          </cell>
        </row>
        <row r="6">
          <cell r="A6">
            <v>5</v>
          </cell>
        </row>
        <row r="6">
          <cell r="D6" t="str">
            <v>Bremen</v>
          </cell>
        </row>
        <row r="7">
          <cell r="A7">
            <v>6</v>
          </cell>
        </row>
        <row r="7">
          <cell r="D7" t="str">
            <v>Berlin</v>
          </cell>
        </row>
        <row r="8">
          <cell r="A8">
            <v>7</v>
          </cell>
        </row>
        <row r="8">
          <cell r="D8" t="str">
            <v>Munich</v>
          </cell>
        </row>
        <row r="9">
          <cell r="A9">
            <v>8</v>
          </cell>
        </row>
        <row r="9">
          <cell r="D9" t="str">
            <v>Ulm</v>
          </cell>
        </row>
        <row r="10">
          <cell r="A10">
            <v>9</v>
          </cell>
        </row>
        <row r="10">
          <cell r="D10" t="str">
            <v>Nuernberg</v>
          </cell>
        </row>
        <row r="11">
          <cell r="A11">
            <v>10</v>
          </cell>
        </row>
        <row r="11">
          <cell r="D11" t="str">
            <v>Stuttgart</v>
          </cell>
        </row>
        <row r="12">
          <cell r="A12">
            <v>11</v>
          </cell>
        </row>
        <row r="12">
          <cell r="D12" t="str">
            <v>Karlsruhe</v>
          </cell>
        </row>
        <row r="13">
          <cell r="A13">
            <v>12</v>
          </cell>
        </row>
        <row r="13">
          <cell r="D13" t="str">
            <v>Mannheim</v>
          </cell>
        </row>
        <row r="14">
          <cell r="A14">
            <v>13</v>
          </cell>
        </row>
        <row r="14">
          <cell r="D14" t="str">
            <v>Essen</v>
          </cell>
        </row>
        <row r="15">
          <cell r="A15">
            <v>14</v>
          </cell>
        </row>
        <row r="15">
          <cell r="D15" t="str">
            <v>Dortmund</v>
          </cell>
        </row>
        <row r="16">
          <cell r="A16">
            <v>15</v>
          </cell>
        </row>
        <row r="16">
          <cell r="D16" t="str">
            <v>Dusseldorf</v>
          </cell>
        </row>
        <row r="17">
          <cell r="A17">
            <v>16</v>
          </cell>
        </row>
        <row r="17">
          <cell r="D17" t="str">
            <v>Koeln</v>
          </cell>
        </row>
        <row r="18">
          <cell r="A18">
            <v>17</v>
          </cell>
        </row>
        <row r="18">
          <cell r="D18" t="str">
            <v>Leipzig</v>
          </cell>
        </row>
        <row r="19">
          <cell r="A19">
            <v>18</v>
          </cell>
        </row>
        <row r="19">
          <cell r="D19" t="str">
            <v>Calais</v>
          </cell>
        </row>
        <row r="20">
          <cell r="A20">
            <v>19</v>
          </cell>
        </row>
        <row r="20">
          <cell r="D20" t="str">
            <v>Orleans</v>
          </cell>
        </row>
        <row r="21">
          <cell r="A21">
            <v>20</v>
          </cell>
        </row>
        <row r="21">
          <cell r="D21" t="str">
            <v>Paris</v>
          </cell>
        </row>
        <row r="22">
          <cell r="A22">
            <v>21</v>
          </cell>
        </row>
        <row r="22">
          <cell r="D22" t="str">
            <v>Chalons-en-Champagne</v>
          </cell>
        </row>
        <row r="23">
          <cell r="A23">
            <v>22</v>
          </cell>
        </row>
        <row r="23">
          <cell r="D23" t="str">
            <v>Arras</v>
          </cell>
        </row>
        <row r="24">
          <cell r="A24">
            <v>23</v>
          </cell>
        </row>
        <row r="24">
          <cell r="D24" t="str">
            <v>Bar-le-Duc</v>
          </cell>
        </row>
        <row r="25">
          <cell r="A25">
            <v>24</v>
          </cell>
        </row>
        <row r="25">
          <cell r="D25" t="str">
            <v>Strasbourg</v>
          </cell>
        </row>
        <row r="26">
          <cell r="A26">
            <v>25</v>
          </cell>
        </row>
        <row r="26">
          <cell r="D26" t="str">
            <v>Brest</v>
          </cell>
        </row>
        <row r="27">
          <cell r="A27">
            <v>26</v>
          </cell>
        </row>
        <row r="27">
          <cell r="D27" t="str">
            <v>Lorient</v>
          </cell>
        </row>
        <row r="28">
          <cell r="A28">
            <v>27</v>
          </cell>
        </row>
        <row r="28">
          <cell r="D28" t="str">
            <v>Limoges</v>
          </cell>
        </row>
        <row r="29">
          <cell r="A29">
            <v>28</v>
          </cell>
        </row>
        <row r="29">
          <cell r="D29" t="str">
            <v>Poitiers</v>
          </cell>
        </row>
        <row r="30">
          <cell r="A30">
            <v>29</v>
          </cell>
        </row>
        <row r="30">
          <cell r="D30" t="str">
            <v>Bayonne</v>
          </cell>
        </row>
        <row r="31">
          <cell r="A31">
            <v>30</v>
          </cell>
        </row>
        <row r="31">
          <cell r="D31" t="str">
            <v>Agen</v>
          </cell>
        </row>
        <row r="32">
          <cell r="A32">
            <v>31</v>
          </cell>
        </row>
        <row r="32">
          <cell r="D32" t="str">
            <v>Grenoble</v>
          </cell>
        </row>
        <row r="33">
          <cell r="A33">
            <v>32</v>
          </cell>
        </row>
        <row r="33">
          <cell r="D33" t="str">
            <v>Tours</v>
          </cell>
        </row>
        <row r="34">
          <cell r="A34">
            <v>33</v>
          </cell>
        </row>
        <row r="34">
          <cell r="D34" t="str">
            <v>Bordeaux</v>
          </cell>
        </row>
        <row r="35">
          <cell r="A35">
            <v>34</v>
          </cell>
        </row>
        <row r="35">
          <cell r="D35" t="str">
            <v>Lyon</v>
          </cell>
        </row>
        <row r="36">
          <cell r="A36">
            <v>35</v>
          </cell>
        </row>
        <row r="36">
          <cell r="D36" t="str">
            <v>Marseille</v>
          </cell>
        </row>
        <row r="37">
          <cell r="A37">
            <v>36</v>
          </cell>
        </row>
        <row r="37">
          <cell r="D37" t="str">
            <v>Milan</v>
          </cell>
        </row>
        <row r="38">
          <cell r="A38">
            <v>37</v>
          </cell>
        </row>
        <row r="38">
          <cell r="D38" t="str">
            <v>Turin</v>
          </cell>
        </row>
        <row r="39">
          <cell r="A39">
            <v>38</v>
          </cell>
        </row>
        <row r="39">
          <cell r="D39" t="str">
            <v>Genoa</v>
          </cell>
        </row>
        <row r="40">
          <cell r="A40">
            <v>39</v>
          </cell>
        </row>
        <row r="40">
          <cell r="D40" t="str">
            <v>Bologna</v>
          </cell>
        </row>
        <row r="41">
          <cell r="A41">
            <v>40</v>
          </cell>
        </row>
        <row r="41">
          <cell r="D41" t="str">
            <v>Florence</v>
          </cell>
        </row>
        <row r="42">
          <cell r="A42">
            <v>41</v>
          </cell>
        </row>
        <row r="42">
          <cell r="D42" t="str">
            <v>Rome</v>
          </cell>
        </row>
        <row r="43">
          <cell r="A43">
            <v>42</v>
          </cell>
        </row>
        <row r="43">
          <cell r="D43" t="str">
            <v>Naples</v>
          </cell>
        </row>
        <row r="44">
          <cell r="A44">
            <v>43</v>
          </cell>
        </row>
        <row r="44">
          <cell r="D44" t="str">
            <v>Palermo</v>
          </cell>
        </row>
        <row r="45">
          <cell r="A45">
            <v>44</v>
          </cell>
        </row>
        <row r="45">
          <cell r="D45" t="str">
            <v>Amsterdam</v>
          </cell>
        </row>
        <row r="46">
          <cell r="A46">
            <v>45</v>
          </cell>
        </row>
        <row r="46">
          <cell r="D46" t="str">
            <v>Delft</v>
          </cell>
        </row>
        <row r="47">
          <cell r="A47">
            <v>46</v>
          </cell>
        </row>
        <row r="47">
          <cell r="D47" t="str">
            <v>Gouda</v>
          </cell>
        </row>
        <row r="48">
          <cell r="A48">
            <v>47</v>
          </cell>
        </row>
        <row r="48">
          <cell r="D48" t="str">
            <v>Leiden</v>
          </cell>
        </row>
        <row r="49">
          <cell r="A49">
            <v>48</v>
          </cell>
        </row>
        <row r="49">
          <cell r="D49" t="str">
            <v>Rotterdam</v>
          </cell>
        </row>
        <row r="50">
          <cell r="A50">
            <v>49</v>
          </cell>
        </row>
        <row r="50">
          <cell r="D50" t="str">
            <v>Utrecht</v>
          </cell>
        </row>
        <row r="51">
          <cell r="A51">
            <v>50</v>
          </cell>
        </row>
        <row r="51">
          <cell r="D51" t="str">
            <v>Pamplona</v>
          </cell>
        </row>
        <row r="52">
          <cell r="A52">
            <v>51</v>
          </cell>
        </row>
        <row r="52">
          <cell r="D52" t="str">
            <v>Logrono</v>
          </cell>
        </row>
        <row r="53">
          <cell r="A53">
            <v>52</v>
          </cell>
        </row>
        <row r="53">
          <cell r="D53" t="str">
            <v>Murguia</v>
          </cell>
        </row>
        <row r="54">
          <cell r="A54">
            <v>53</v>
          </cell>
        </row>
        <row r="54">
          <cell r="D54" t="str">
            <v>Valencia</v>
          </cell>
        </row>
        <row r="55">
          <cell r="A55">
            <v>54</v>
          </cell>
        </row>
        <row r="55">
          <cell r="D55" t="str">
            <v>Zaragoza</v>
          </cell>
        </row>
        <row r="56">
          <cell r="A56">
            <v>55</v>
          </cell>
        </row>
        <row r="56">
          <cell r="D56" t="str">
            <v>Barcelona</v>
          </cell>
        </row>
        <row r="57">
          <cell r="A57">
            <v>56</v>
          </cell>
        </row>
        <row r="57">
          <cell r="D57" t="str">
            <v>Santiago de Compostela</v>
          </cell>
        </row>
        <row r="58">
          <cell r="A58">
            <v>57</v>
          </cell>
        </row>
        <row r="58">
          <cell r="D58" t="str">
            <v>Sevilla</v>
          </cell>
        </row>
        <row r="59">
          <cell r="A59">
            <v>58</v>
          </cell>
        </row>
        <row r="59">
          <cell r="D59" t="str">
            <v>Madrid</v>
          </cell>
        </row>
        <row r="60">
          <cell r="A60">
            <v>59</v>
          </cell>
        </row>
        <row r="60">
          <cell r="D60" t="str">
            <v>Valladolid</v>
          </cell>
        </row>
        <row r="61">
          <cell r="A61">
            <v>60</v>
          </cell>
        </row>
        <row r="61">
          <cell r="D61" t="str">
            <v>Lausanne (EPFL)</v>
          </cell>
        </row>
        <row r="62">
          <cell r="A62">
            <v>61</v>
          </cell>
        </row>
        <row r="62">
          <cell r="D62" t="str">
            <v>Bern</v>
          </cell>
        </row>
        <row r="63">
          <cell r="A63">
            <v>62</v>
          </cell>
        </row>
        <row r="63">
          <cell r="D63" t="str">
            <v>Zurich (ETH)</v>
          </cell>
        </row>
        <row r="64">
          <cell r="A64">
            <v>63</v>
          </cell>
        </row>
        <row r="64">
          <cell r="D64" t="str">
            <v>Manno</v>
          </cell>
        </row>
        <row r="65">
          <cell r="A65">
            <v>64</v>
          </cell>
        </row>
        <row r="65">
          <cell r="D65" t="str">
            <v>Neuchatel</v>
          </cell>
        </row>
        <row r="66">
          <cell r="A66">
            <v>65</v>
          </cell>
        </row>
        <row r="66">
          <cell r="D66" t="str">
            <v>Geneva</v>
          </cell>
        </row>
        <row r="67">
          <cell r="A67">
            <v>66</v>
          </cell>
        </row>
        <row r="67">
          <cell r="D67" t="str">
            <v>Basel</v>
          </cell>
        </row>
        <row r="68">
          <cell r="A68">
            <v>67</v>
          </cell>
        </row>
        <row r="68">
          <cell r="D68" t="str">
            <v>Brussels</v>
          </cell>
        </row>
        <row r="69">
          <cell r="A69">
            <v>68</v>
          </cell>
        </row>
        <row r="69">
          <cell r="D69" t="str">
            <v>Antwerpen</v>
          </cell>
        </row>
        <row r="70">
          <cell r="A70">
            <v>69</v>
          </cell>
        </row>
        <row r="70">
          <cell r="D70" t="str">
            <v>Gent</v>
          </cell>
        </row>
        <row r="71">
          <cell r="A71">
            <v>70</v>
          </cell>
        </row>
        <row r="71">
          <cell r="D71" t="str">
            <v>Liege</v>
          </cell>
        </row>
        <row r="72">
          <cell r="A72">
            <v>71</v>
          </cell>
        </row>
        <row r="72">
          <cell r="D72" t="str">
            <v>Mons</v>
          </cell>
        </row>
        <row r="73">
          <cell r="A73">
            <v>72</v>
          </cell>
        </row>
        <row r="73">
          <cell r="D73" t="str">
            <v>London</v>
          </cell>
        </row>
        <row r="74">
          <cell r="A74">
            <v>73</v>
          </cell>
        </row>
        <row r="74">
          <cell r="D74" t="str">
            <v>Birmingham</v>
          </cell>
        </row>
        <row r="75">
          <cell r="A75">
            <v>74</v>
          </cell>
        </row>
        <row r="75">
          <cell r="D75" t="str">
            <v>Edinburgh</v>
          </cell>
        </row>
        <row r="76">
          <cell r="A76">
            <v>75</v>
          </cell>
        </row>
        <row r="76">
          <cell r="D76" t="str">
            <v>Manchester</v>
          </cell>
        </row>
        <row r="77">
          <cell r="A77">
            <v>76</v>
          </cell>
        </row>
        <row r="77">
          <cell r="D77" t="str">
            <v>Reading</v>
          </cell>
        </row>
        <row r="78">
          <cell r="A78">
            <v>77</v>
          </cell>
        </row>
        <row r="78">
          <cell r="D78" t="str">
            <v>Milton Keynes</v>
          </cell>
        </row>
        <row r="79">
          <cell r="A79">
            <v>78</v>
          </cell>
        </row>
        <row r="79">
          <cell r="D79" t="str">
            <v>Ilford</v>
          </cell>
        </row>
        <row r="80">
          <cell r="A80">
            <v>79</v>
          </cell>
        </row>
        <row r="80">
          <cell r="D80" t="str">
            <v>Ealing</v>
          </cell>
        </row>
        <row r="81">
          <cell r="A81">
            <v>80</v>
          </cell>
        </row>
        <row r="81">
          <cell r="D81" t="str">
            <v>Glasgow</v>
          </cell>
        </row>
        <row r="82">
          <cell r="A82">
            <v>81</v>
          </cell>
        </row>
        <row r="82">
          <cell r="D82" t="str">
            <v>Aveiro</v>
          </cell>
        </row>
        <row r="83">
          <cell r="A83">
            <v>82</v>
          </cell>
        </row>
        <row r="83">
          <cell r="D83" t="str">
            <v>Caldas da Rainha</v>
          </cell>
        </row>
        <row r="84">
          <cell r="A84">
            <v>83</v>
          </cell>
        </row>
        <row r="84">
          <cell r="D84" t="str">
            <v>Coimbra</v>
          </cell>
        </row>
        <row r="85">
          <cell r="A85">
            <v>84</v>
          </cell>
        </row>
        <row r="85">
          <cell r="D85" t="str">
            <v>Leiria</v>
          </cell>
        </row>
        <row r="86">
          <cell r="A86">
            <v>85</v>
          </cell>
        </row>
        <row r="86">
          <cell r="D86" t="str">
            <v>Lisboa</v>
          </cell>
        </row>
        <row r="87">
          <cell r="A87">
            <v>86</v>
          </cell>
        </row>
        <row r="87">
          <cell r="D87" t="str">
            <v>Porto</v>
          </cell>
        </row>
        <row r="88">
          <cell r="A88">
            <v>87</v>
          </cell>
        </row>
        <row r="88">
          <cell r="D88" t="str">
            <v>Santarem</v>
          </cell>
        </row>
        <row r="89">
          <cell r="A89">
            <v>88</v>
          </cell>
        </row>
        <row r="89">
          <cell r="D89" t="str">
            <v>Sao Joao da Madeira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topLeftCell="A16" workbookViewId="0">
      <selection activeCell="E51" sqref="E51"/>
    </sheetView>
  </sheetViews>
  <sheetFormatPr defaultColWidth="9" defaultRowHeight="14.4" outlineLevelCol="7"/>
  <cols>
    <col min="4" max="4" width="11.4444444444444" customWidth="1"/>
    <col min="5" max="5" width="25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52.39</v>
      </c>
      <c r="C2" s="1">
        <v>9.8</v>
      </c>
      <c r="D2" s="1" t="s">
        <v>8</v>
      </c>
      <c r="E2" s="1" t="s">
        <v>9</v>
      </c>
      <c r="F2" s="1">
        <v>1</v>
      </c>
      <c r="G2" s="14" t="s">
        <v>10</v>
      </c>
      <c r="H2" s="1">
        <v>1</v>
      </c>
    </row>
    <row r="3" spans="1:8">
      <c r="A3" s="1">
        <v>2</v>
      </c>
      <c r="B3" s="1">
        <v>50.1</v>
      </c>
      <c r="C3" s="1">
        <v>8.67</v>
      </c>
      <c r="D3" s="1" t="s">
        <v>11</v>
      </c>
      <c r="E3" s="1" t="s">
        <v>9</v>
      </c>
      <c r="F3" s="1">
        <v>1</v>
      </c>
      <c r="G3" s="14" t="s">
        <v>10</v>
      </c>
      <c r="H3" s="1">
        <v>1</v>
      </c>
    </row>
    <row r="4" spans="1:8">
      <c r="A4" s="1">
        <v>3</v>
      </c>
      <c r="B4" s="1">
        <v>53.55</v>
      </c>
      <c r="C4" s="1">
        <v>10.02</v>
      </c>
      <c r="D4" s="1" t="s">
        <v>12</v>
      </c>
      <c r="E4" s="1" t="s">
        <v>9</v>
      </c>
      <c r="F4" s="1">
        <v>1</v>
      </c>
      <c r="G4" s="14" t="s">
        <v>10</v>
      </c>
      <c r="H4" s="1">
        <v>1</v>
      </c>
    </row>
    <row r="5" spans="1:8">
      <c r="A5" s="1">
        <v>4</v>
      </c>
      <c r="B5" s="1">
        <v>53.6</v>
      </c>
      <c r="C5" s="1">
        <v>7.21</v>
      </c>
      <c r="D5" s="1" t="s">
        <v>13</v>
      </c>
      <c r="E5" s="1" t="s">
        <v>9</v>
      </c>
      <c r="F5" s="1">
        <v>1</v>
      </c>
      <c r="G5" s="14" t="s">
        <v>10</v>
      </c>
      <c r="H5" s="1">
        <v>1</v>
      </c>
    </row>
    <row r="6" spans="1:8">
      <c r="A6" s="1">
        <v>5</v>
      </c>
      <c r="B6" s="1">
        <v>53.08</v>
      </c>
      <c r="C6" s="1">
        <v>8.8</v>
      </c>
      <c r="D6" s="1" t="s">
        <v>14</v>
      </c>
      <c r="E6" s="1" t="s">
        <v>9</v>
      </c>
      <c r="F6" s="1">
        <v>1</v>
      </c>
      <c r="G6" s="14" t="s">
        <v>10</v>
      </c>
      <c r="H6" s="1">
        <v>1</v>
      </c>
    </row>
    <row r="7" spans="1:8">
      <c r="A7" s="1">
        <v>6</v>
      </c>
      <c r="B7" s="1">
        <v>52.52</v>
      </c>
      <c r="C7" s="1">
        <v>13.4</v>
      </c>
      <c r="D7" s="15" t="s">
        <v>15</v>
      </c>
      <c r="E7" s="1" t="s">
        <v>9</v>
      </c>
      <c r="F7" s="1">
        <v>1</v>
      </c>
      <c r="G7" s="13" t="b">
        <v>1</v>
      </c>
      <c r="H7" s="1">
        <v>1</v>
      </c>
    </row>
    <row r="8" spans="1:8">
      <c r="A8" s="1">
        <v>7</v>
      </c>
      <c r="B8" s="1">
        <v>48.13</v>
      </c>
      <c r="C8" s="1">
        <v>11.57</v>
      </c>
      <c r="D8" s="15" t="s">
        <v>16</v>
      </c>
      <c r="E8" s="1" t="s">
        <v>9</v>
      </c>
      <c r="F8" s="1">
        <v>1</v>
      </c>
      <c r="G8" s="13" t="b">
        <v>1</v>
      </c>
      <c r="H8" s="1">
        <v>1</v>
      </c>
    </row>
    <row r="9" spans="1:8">
      <c r="A9" s="1">
        <v>8</v>
      </c>
      <c r="B9" s="1">
        <v>48.4</v>
      </c>
      <c r="C9" s="1">
        <v>9.99</v>
      </c>
      <c r="D9" s="1" t="s">
        <v>17</v>
      </c>
      <c r="E9" s="1" t="s">
        <v>9</v>
      </c>
      <c r="F9" s="1">
        <v>1</v>
      </c>
      <c r="G9" s="14" t="s">
        <v>10</v>
      </c>
      <c r="H9" s="1">
        <v>1</v>
      </c>
    </row>
    <row r="10" spans="1:8">
      <c r="A10" s="1">
        <v>9</v>
      </c>
      <c r="B10" s="1">
        <v>49.45</v>
      </c>
      <c r="C10" s="1">
        <v>11.08</v>
      </c>
      <c r="D10" s="15" t="s">
        <v>18</v>
      </c>
      <c r="E10" s="1" t="s">
        <v>9</v>
      </c>
      <c r="F10" s="1">
        <v>1</v>
      </c>
      <c r="G10" s="13" t="b">
        <v>1</v>
      </c>
      <c r="H10" s="1">
        <v>1</v>
      </c>
    </row>
    <row r="11" spans="1:8">
      <c r="A11" s="1">
        <v>10</v>
      </c>
      <c r="B11" s="1">
        <v>48.73</v>
      </c>
      <c r="C11" s="1">
        <v>9.12</v>
      </c>
      <c r="D11" s="1" t="s">
        <v>19</v>
      </c>
      <c r="E11" s="1" t="s">
        <v>9</v>
      </c>
      <c r="F11" s="1">
        <v>1</v>
      </c>
      <c r="G11" s="14" t="s">
        <v>10</v>
      </c>
      <c r="H11" s="1">
        <v>1</v>
      </c>
    </row>
    <row r="12" spans="1:8">
      <c r="A12" s="1">
        <v>11</v>
      </c>
      <c r="B12" s="1">
        <v>49.01</v>
      </c>
      <c r="C12" s="1">
        <v>8.41</v>
      </c>
      <c r="D12" s="1" t="s">
        <v>20</v>
      </c>
      <c r="E12" s="1" t="s">
        <v>9</v>
      </c>
      <c r="F12" s="1">
        <v>1</v>
      </c>
      <c r="G12" s="14" t="s">
        <v>10</v>
      </c>
      <c r="H12" s="1">
        <v>1</v>
      </c>
    </row>
    <row r="13" spans="1:8">
      <c r="A13" s="1">
        <v>12</v>
      </c>
      <c r="B13" s="1">
        <v>49.49</v>
      </c>
      <c r="C13" s="1">
        <v>8.49</v>
      </c>
      <c r="D13" s="1" t="s">
        <v>21</v>
      </c>
      <c r="E13" s="1" t="s">
        <v>9</v>
      </c>
      <c r="F13" s="1">
        <v>1</v>
      </c>
      <c r="G13" s="14" t="s">
        <v>10</v>
      </c>
      <c r="H13" s="1">
        <v>1</v>
      </c>
    </row>
    <row r="14" spans="1:8">
      <c r="A14" s="1">
        <v>13</v>
      </c>
      <c r="B14" s="1">
        <v>51.44</v>
      </c>
      <c r="C14" s="1">
        <v>7</v>
      </c>
      <c r="D14" s="1" t="s">
        <v>22</v>
      </c>
      <c r="E14" s="1" t="s">
        <v>9</v>
      </c>
      <c r="F14" s="1">
        <v>1</v>
      </c>
      <c r="G14" s="14" t="s">
        <v>10</v>
      </c>
      <c r="H14" s="1">
        <v>1</v>
      </c>
    </row>
    <row r="15" spans="1:8">
      <c r="A15" s="1">
        <v>14</v>
      </c>
      <c r="B15" s="1">
        <v>51.51</v>
      </c>
      <c r="C15" s="1">
        <v>7.48</v>
      </c>
      <c r="D15" s="1" t="s">
        <v>23</v>
      </c>
      <c r="E15" s="1" t="s">
        <v>9</v>
      </c>
      <c r="F15" s="1">
        <v>1</v>
      </c>
      <c r="G15" s="14" t="s">
        <v>10</v>
      </c>
      <c r="H15" s="1">
        <v>1</v>
      </c>
    </row>
    <row r="16" spans="1:8">
      <c r="A16" s="1">
        <v>15</v>
      </c>
      <c r="B16" s="1">
        <v>51.23</v>
      </c>
      <c r="C16" s="1">
        <v>6.78</v>
      </c>
      <c r="D16" s="1" t="s">
        <v>24</v>
      </c>
      <c r="E16" s="1" t="s">
        <v>9</v>
      </c>
      <c r="F16" s="1">
        <v>1</v>
      </c>
      <c r="G16" s="14" t="s">
        <v>10</v>
      </c>
      <c r="H16" s="1">
        <v>1</v>
      </c>
    </row>
    <row r="17" spans="1:8">
      <c r="A17" s="1">
        <v>16</v>
      </c>
      <c r="B17" s="1">
        <v>50.92</v>
      </c>
      <c r="C17" s="1">
        <v>7.01</v>
      </c>
      <c r="D17" s="1" t="s">
        <v>25</v>
      </c>
      <c r="E17" s="1" t="s">
        <v>9</v>
      </c>
      <c r="F17" s="1">
        <v>1</v>
      </c>
      <c r="G17" s="14" t="s">
        <v>10</v>
      </c>
      <c r="H17" s="1">
        <v>1</v>
      </c>
    </row>
    <row r="18" spans="1:8">
      <c r="A18" s="1">
        <v>17</v>
      </c>
      <c r="B18" s="1">
        <v>51.34</v>
      </c>
      <c r="C18" s="1">
        <v>12.38</v>
      </c>
      <c r="D18" s="1" t="s">
        <v>26</v>
      </c>
      <c r="E18" s="1" t="s">
        <v>9</v>
      </c>
      <c r="F18" s="1">
        <v>1</v>
      </c>
      <c r="G18" s="14" t="s">
        <v>10</v>
      </c>
      <c r="H18" s="1">
        <v>1</v>
      </c>
    </row>
    <row r="19" spans="1:8">
      <c r="A19" s="1">
        <v>18</v>
      </c>
      <c r="B19" s="8">
        <v>51.0504</v>
      </c>
      <c r="C19" s="8">
        <v>13.7373</v>
      </c>
      <c r="D19" s="16" t="s">
        <v>27</v>
      </c>
      <c r="E19" s="1" t="s">
        <v>9</v>
      </c>
      <c r="F19">
        <v>1</v>
      </c>
      <c r="G19" s="13" t="b">
        <v>1</v>
      </c>
      <c r="H19" s="1">
        <v>1</v>
      </c>
    </row>
    <row r="20" spans="1:8">
      <c r="A20" s="1">
        <v>19</v>
      </c>
      <c r="B20" s="8">
        <v>53.13</v>
      </c>
      <c r="C20" s="8">
        <v>23.15</v>
      </c>
      <c r="D20" s="8" t="s">
        <v>28</v>
      </c>
      <c r="E20" s="8" t="s">
        <v>29</v>
      </c>
      <c r="F20">
        <v>2</v>
      </c>
      <c r="G20" s="14" t="s">
        <v>10</v>
      </c>
      <c r="H20" s="1">
        <v>1</v>
      </c>
    </row>
    <row r="21" spans="1:8">
      <c r="A21" s="1">
        <v>20</v>
      </c>
      <c r="B21" s="8">
        <v>53.12</v>
      </c>
      <c r="C21" s="8">
        <v>18.01</v>
      </c>
      <c r="D21" s="8" t="s">
        <v>30</v>
      </c>
      <c r="E21" s="8" t="s">
        <v>29</v>
      </c>
      <c r="F21">
        <v>2</v>
      </c>
      <c r="G21" s="14" t="s">
        <v>10</v>
      </c>
      <c r="H21" s="1">
        <v>1</v>
      </c>
    </row>
    <row r="22" spans="1:8">
      <c r="A22" s="1">
        <v>21</v>
      </c>
      <c r="B22" s="8">
        <v>54.35</v>
      </c>
      <c r="C22" s="8">
        <v>18.65</v>
      </c>
      <c r="D22" s="8" t="s">
        <v>31</v>
      </c>
      <c r="E22" s="8" t="s">
        <v>29</v>
      </c>
      <c r="F22">
        <v>2</v>
      </c>
      <c r="G22" s="14" t="s">
        <v>10</v>
      </c>
      <c r="H22" s="1">
        <v>1</v>
      </c>
    </row>
    <row r="23" spans="1:8">
      <c r="A23" s="1">
        <v>22</v>
      </c>
      <c r="B23" s="8">
        <v>50.08</v>
      </c>
      <c r="C23" s="8">
        <v>19.92</v>
      </c>
      <c r="D23" s="16" t="s">
        <v>32</v>
      </c>
      <c r="E23" s="8" t="s">
        <v>29</v>
      </c>
      <c r="F23">
        <v>2</v>
      </c>
      <c r="G23" s="13" t="b">
        <v>1</v>
      </c>
      <c r="H23" s="1">
        <v>1</v>
      </c>
    </row>
    <row r="24" spans="1:8">
      <c r="A24" s="1">
        <v>23</v>
      </c>
      <c r="B24" s="8">
        <v>51.75</v>
      </c>
      <c r="C24" s="8">
        <v>19.47</v>
      </c>
      <c r="D24" s="8" t="s">
        <v>33</v>
      </c>
      <c r="E24" s="8" t="s">
        <v>29</v>
      </c>
      <c r="F24">
        <v>2</v>
      </c>
      <c r="G24" s="14" t="s">
        <v>10</v>
      </c>
      <c r="H24" s="1">
        <v>1</v>
      </c>
    </row>
    <row r="25" spans="1:8">
      <c r="A25" s="1">
        <v>24</v>
      </c>
      <c r="B25" s="8">
        <v>51.25</v>
      </c>
      <c r="C25" s="8">
        <v>22.57</v>
      </c>
      <c r="D25" s="8" t="s">
        <v>34</v>
      </c>
      <c r="E25" s="8" t="s">
        <v>29</v>
      </c>
      <c r="F25">
        <v>2</v>
      </c>
      <c r="G25" s="14" t="s">
        <v>10</v>
      </c>
      <c r="H25" s="1">
        <v>1</v>
      </c>
    </row>
    <row r="26" spans="1:8">
      <c r="A26" s="1">
        <v>25</v>
      </c>
      <c r="B26" s="8">
        <v>52.42</v>
      </c>
      <c r="C26" s="8">
        <v>16.97</v>
      </c>
      <c r="D26" s="16" t="s">
        <v>35</v>
      </c>
      <c r="E26" s="8" t="s">
        <v>29</v>
      </c>
      <c r="F26">
        <v>2</v>
      </c>
      <c r="G26" s="13" t="b">
        <v>1</v>
      </c>
      <c r="H26" s="1">
        <v>1</v>
      </c>
    </row>
    <row r="27" spans="1:8">
      <c r="A27" s="1">
        <v>26</v>
      </c>
      <c r="B27" s="8">
        <v>53.43</v>
      </c>
      <c r="C27" s="8">
        <v>14.55</v>
      </c>
      <c r="D27" s="16" t="s">
        <v>36</v>
      </c>
      <c r="E27" s="8" t="s">
        <v>29</v>
      </c>
      <c r="F27">
        <v>2</v>
      </c>
      <c r="G27" s="13" t="b">
        <v>1</v>
      </c>
      <c r="H27" s="1">
        <v>1</v>
      </c>
    </row>
    <row r="28" spans="1:8">
      <c r="A28" s="1">
        <v>27</v>
      </c>
      <c r="B28" s="8">
        <v>52.23</v>
      </c>
      <c r="C28" s="8">
        <v>21.01</v>
      </c>
      <c r="D28" s="8" t="s">
        <v>37</v>
      </c>
      <c r="E28" s="8" t="s">
        <v>29</v>
      </c>
      <c r="F28">
        <v>2</v>
      </c>
      <c r="G28" s="14" t="s">
        <v>10</v>
      </c>
      <c r="H28" s="1">
        <v>1</v>
      </c>
    </row>
    <row r="29" spans="1:8">
      <c r="A29" s="1">
        <v>28</v>
      </c>
      <c r="B29" s="8">
        <v>51.1</v>
      </c>
      <c r="C29" s="8">
        <v>17.03</v>
      </c>
      <c r="D29" s="16" t="s">
        <v>38</v>
      </c>
      <c r="E29" s="8" t="s">
        <v>29</v>
      </c>
      <c r="F29">
        <v>2</v>
      </c>
      <c r="G29" s="13" t="b">
        <v>1</v>
      </c>
      <c r="H29" s="1">
        <v>1</v>
      </c>
    </row>
    <row r="30" spans="1:8">
      <c r="A30" s="1">
        <v>29</v>
      </c>
      <c r="B30">
        <v>49.2</v>
      </c>
      <c r="C30">
        <v>16.61</v>
      </c>
      <c r="D30" s="17" t="s">
        <v>39</v>
      </c>
      <c r="E30" t="s">
        <v>40</v>
      </c>
      <c r="F30">
        <v>3</v>
      </c>
      <c r="G30" s="13" t="b">
        <v>1</v>
      </c>
      <c r="H30" s="1">
        <v>1</v>
      </c>
    </row>
    <row r="31" spans="1:8">
      <c r="A31" s="1">
        <v>30</v>
      </c>
      <c r="B31">
        <v>49.9</v>
      </c>
      <c r="C31">
        <v>16.44</v>
      </c>
      <c r="D31" t="s">
        <v>41</v>
      </c>
      <c r="E31" t="s">
        <v>40</v>
      </c>
      <c r="F31">
        <v>3</v>
      </c>
      <c r="G31" s="14" t="s">
        <v>10</v>
      </c>
      <c r="H31" s="1">
        <v>1</v>
      </c>
    </row>
    <row r="32" spans="1:8">
      <c r="A32" s="1">
        <v>31</v>
      </c>
      <c r="B32">
        <v>48.97</v>
      </c>
      <c r="C32">
        <v>14.47</v>
      </c>
      <c r="D32" s="17" t="s">
        <v>42</v>
      </c>
      <c r="E32" t="s">
        <v>40</v>
      </c>
      <c r="F32">
        <v>3</v>
      </c>
      <c r="G32" s="13" t="b">
        <v>1</v>
      </c>
      <c r="H32" s="1">
        <v>1</v>
      </c>
    </row>
    <row r="33" spans="1:8">
      <c r="A33" s="1">
        <v>32</v>
      </c>
      <c r="B33">
        <v>50.23</v>
      </c>
      <c r="C33">
        <v>12.87</v>
      </c>
      <c r="D33" s="17" t="s">
        <v>43</v>
      </c>
      <c r="E33" t="s">
        <v>40</v>
      </c>
      <c r="F33">
        <v>3</v>
      </c>
      <c r="G33" s="13" t="b">
        <v>1</v>
      </c>
      <c r="H33" s="1">
        <v>1</v>
      </c>
    </row>
    <row r="34" spans="1:8">
      <c r="A34" s="1">
        <v>33</v>
      </c>
      <c r="B34">
        <v>50.77</v>
      </c>
      <c r="C34">
        <v>15.06</v>
      </c>
      <c r="D34" s="17" t="s">
        <v>44</v>
      </c>
      <c r="E34" t="s">
        <v>40</v>
      </c>
      <c r="F34">
        <v>3</v>
      </c>
      <c r="G34" s="13" t="b">
        <v>1</v>
      </c>
      <c r="H34" s="1">
        <v>1</v>
      </c>
    </row>
    <row r="35" spans="1:8">
      <c r="A35" s="1">
        <v>34</v>
      </c>
      <c r="B35">
        <v>49.6</v>
      </c>
      <c r="C35">
        <v>17.25</v>
      </c>
      <c r="D35" t="s">
        <v>45</v>
      </c>
      <c r="E35" t="s">
        <v>40</v>
      </c>
      <c r="F35">
        <v>3</v>
      </c>
      <c r="G35" s="14" t="s">
        <v>10</v>
      </c>
      <c r="H35" s="1">
        <v>1</v>
      </c>
    </row>
    <row r="36" spans="1:8">
      <c r="A36" s="1">
        <v>35</v>
      </c>
      <c r="B36">
        <v>49.83</v>
      </c>
      <c r="C36">
        <v>18.28</v>
      </c>
      <c r="D36" s="17" t="s">
        <v>46</v>
      </c>
      <c r="E36" t="s">
        <v>40</v>
      </c>
      <c r="F36">
        <v>3</v>
      </c>
      <c r="G36" s="13" t="b">
        <v>1</v>
      </c>
      <c r="H36" s="1">
        <v>1</v>
      </c>
    </row>
    <row r="37" spans="1:8">
      <c r="A37" s="1">
        <v>36</v>
      </c>
      <c r="B37">
        <v>49.75</v>
      </c>
      <c r="C37">
        <v>13.38</v>
      </c>
      <c r="D37" t="s">
        <v>47</v>
      </c>
      <c r="E37" t="s">
        <v>40</v>
      </c>
      <c r="F37">
        <v>3</v>
      </c>
      <c r="G37" s="14" t="s">
        <v>10</v>
      </c>
      <c r="H37" s="1">
        <v>1</v>
      </c>
    </row>
    <row r="38" spans="1:8">
      <c r="A38" s="1">
        <v>37</v>
      </c>
      <c r="B38">
        <v>50.09</v>
      </c>
      <c r="C38">
        <v>14.42</v>
      </c>
      <c r="D38" t="s">
        <v>48</v>
      </c>
      <c r="E38" t="s">
        <v>40</v>
      </c>
      <c r="F38">
        <v>3</v>
      </c>
      <c r="G38" s="14" t="s">
        <v>10</v>
      </c>
      <c r="H38" s="1">
        <v>1</v>
      </c>
    </row>
    <row r="39" spans="1:8">
      <c r="A39" s="1">
        <v>38</v>
      </c>
      <c r="B39">
        <v>50.66</v>
      </c>
      <c r="C39">
        <v>14.03</v>
      </c>
      <c r="D39" s="17" t="s">
        <v>49</v>
      </c>
      <c r="E39" t="s">
        <v>40</v>
      </c>
      <c r="F39">
        <v>3</v>
      </c>
      <c r="G39" s="13" t="b">
        <v>1</v>
      </c>
      <c r="H39" s="1">
        <v>1</v>
      </c>
    </row>
    <row r="40" spans="1:8">
      <c r="A40" s="1">
        <v>39</v>
      </c>
      <c r="B40">
        <v>49.22</v>
      </c>
      <c r="C40">
        <v>17.67</v>
      </c>
      <c r="D40" t="s">
        <v>50</v>
      </c>
      <c r="E40" t="s">
        <v>40</v>
      </c>
      <c r="F40">
        <v>3</v>
      </c>
      <c r="G40" s="14" t="s">
        <v>10</v>
      </c>
      <c r="H40" s="1">
        <v>1</v>
      </c>
    </row>
    <row r="41" spans="1:8">
      <c r="A41" s="1">
        <v>40</v>
      </c>
      <c r="B41">
        <v>48.307</v>
      </c>
      <c r="C41">
        <v>14.286</v>
      </c>
      <c r="D41" s="17" t="s">
        <v>51</v>
      </c>
      <c r="E41" t="s">
        <v>52</v>
      </c>
      <c r="F41">
        <v>4</v>
      </c>
      <c r="G41" s="13" t="b">
        <v>1</v>
      </c>
      <c r="H41" s="1">
        <v>1</v>
      </c>
    </row>
    <row r="42" spans="1:8">
      <c r="A42" s="1">
        <v>41</v>
      </c>
      <c r="B42">
        <v>47.8</v>
      </c>
      <c r="C42">
        <v>13.044</v>
      </c>
      <c r="D42" s="17" t="s">
        <v>53</v>
      </c>
      <c r="E42" t="s">
        <v>52</v>
      </c>
      <c r="F42">
        <v>4</v>
      </c>
      <c r="G42" s="13" t="b">
        <v>1</v>
      </c>
      <c r="H42" s="1">
        <v>1</v>
      </c>
    </row>
    <row r="43" spans="1:8">
      <c r="A43" s="1">
        <v>42</v>
      </c>
      <c r="B43">
        <v>47.26</v>
      </c>
      <c r="C43">
        <v>11.394</v>
      </c>
      <c r="D43" t="s">
        <v>54</v>
      </c>
      <c r="E43" t="s">
        <v>52</v>
      </c>
      <c r="F43">
        <v>4</v>
      </c>
      <c r="G43" s="14" t="s">
        <v>10</v>
      </c>
      <c r="H43" s="1">
        <v>1</v>
      </c>
    </row>
    <row r="44" spans="1:8">
      <c r="A44" s="1">
        <v>43</v>
      </c>
      <c r="B44">
        <v>47.414</v>
      </c>
      <c r="C44">
        <v>9.744</v>
      </c>
      <c r="D44" t="s">
        <v>55</v>
      </c>
      <c r="E44" t="s">
        <v>52</v>
      </c>
      <c r="F44">
        <v>4</v>
      </c>
      <c r="G44" s="14" t="s">
        <v>10</v>
      </c>
      <c r="H44" s="1">
        <v>1</v>
      </c>
    </row>
    <row r="45" spans="1:8">
      <c r="A45" s="1">
        <v>44</v>
      </c>
      <c r="B45">
        <v>46.624</v>
      </c>
      <c r="C45">
        <v>14.305</v>
      </c>
      <c r="D45" t="s">
        <v>56</v>
      </c>
      <c r="E45" t="s">
        <v>52</v>
      </c>
      <c r="F45">
        <v>4</v>
      </c>
      <c r="G45" s="14" t="s">
        <v>10</v>
      </c>
      <c r="H45" s="1">
        <v>1</v>
      </c>
    </row>
    <row r="46" spans="1:8">
      <c r="A46" s="1">
        <v>45</v>
      </c>
      <c r="B46">
        <v>47.07</v>
      </c>
      <c r="C46">
        <v>15.439</v>
      </c>
      <c r="D46" t="s">
        <v>57</v>
      </c>
      <c r="E46" t="s">
        <v>52</v>
      </c>
      <c r="F46">
        <v>4</v>
      </c>
      <c r="G46" s="14" t="s">
        <v>10</v>
      </c>
      <c r="H46" s="1">
        <v>1</v>
      </c>
    </row>
    <row r="47" spans="1:8">
      <c r="A47" s="1">
        <v>46</v>
      </c>
      <c r="B47">
        <v>48.209</v>
      </c>
      <c r="C47">
        <v>16.373</v>
      </c>
      <c r="D47" s="17" t="s">
        <v>58</v>
      </c>
      <c r="E47" t="s">
        <v>52</v>
      </c>
      <c r="F47">
        <v>4</v>
      </c>
      <c r="G47" s="13" t="b">
        <v>1</v>
      </c>
      <c r="H47" s="1">
        <v>1</v>
      </c>
    </row>
    <row r="48" spans="1:8">
      <c r="A48" s="1">
        <v>47</v>
      </c>
      <c r="B48">
        <v>46.61</v>
      </c>
      <c r="C48">
        <v>13.86</v>
      </c>
      <c r="D48" t="s">
        <v>59</v>
      </c>
      <c r="E48" t="s">
        <v>52</v>
      </c>
      <c r="F48">
        <v>4</v>
      </c>
      <c r="G48" s="14" t="s">
        <v>10</v>
      </c>
      <c r="H48" s="1">
        <v>1</v>
      </c>
    </row>
    <row r="49" spans="1:8">
      <c r="A49" s="1">
        <v>48</v>
      </c>
      <c r="B49" s="8">
        <v>48.58333</v>
      </c>
      <c r="C49" s="8">
        <v>19.13333</v>
      </c>
      <c r="D49" s="8" t="s">
        <v>60</v>
      </c>
      <c r="E49" s="8" t="s">
        <v>61</v>
      </c>
      <c r="F49">
        <v>5</v>
      </c>
      <c r="G49" s="14" t="s">
        <v>10</v>
      </c>
      <c r="H49" s="1">
        <v>1</v>
      </c>
    </row>
    <row r="50" spans="1:8">
      <c r="A50" s="1">
        <v>49</v>
      </c>
      <c r="B50" s="8">
        <v>49.22315</v>
      </c>
      <c r="C50" s="8">
        <v>18.73941</v>
      </c>
      <c r="D50" s="16" t="s">
        <v>62</v>
      </c>
      <c r="E50" s="8" t="s">
        <v>61</v>
      </c>
      <c r="F50">
        <v>5</v>
      </c>
      <c r="G50" s="13" t="b">
        <v>1</v>
      </c>
      <c r="H50" s="1">
        <v>1</v>
      </c>
    </row>
    <row r="51" spans="1:8">
      <c r="A51" s="1">
        <v>50</v>
      </c>
      <c r="B51" s="8">
        <v>47.98544</v>
      </c>
      <c r="C51" s="8">
        <v>18.16195</v>
      </c>
      <c r="D51" s="8" t="s">
        <v>63</v>
      </c>
      <c r="E51" s="8" t="s">
        <v>61</v>
      </c>
      <c r="F51">
        <v>5</v>
      </c>
      <c r="G51" s="14" t="s">
        <v>10</v>
      </c>
      <c r="H51" s="1">
        <v>1</v>
      </c>
    </row>
    <row r="52" spans="1:8">
      <c r="A52" s="1">
        <v>51</v>
      </c>
      <c r="B52" s="8">
        <v>48.30763</v>
      </c>
      <c r="C52" s="8">
        <v>18.08453</v>
      </c>
      <c r="D52" s="8" t="s">
        <v>64</v>
      </c>
      <c r="E52" s="8" t="s">
        <v>61</v>
      </c>
      <c r="F52">
        <v>5</v>
      </c>
      <c r="G52" s="14" t="s">
        <v>10</v>
      </c>
      <c r="H52" s="1">
        <v>1</v>
      </c>
    </row>
    <row r="53" spans="1:8">
      <c r="A53" s="1">
        <v>52</v>
      </c>
      <c r="B53" s="8">
        <v>48.89452</v>
      </c>
      <c r="C53" s="8">
        <v>18.04436</v>
      </c>
      <c r="D53" s="8" t="s">
        <v>65</v>
      </c>
      <c r="E53" s="8" t="s">
        <v>61</v>
      </c>
      <c r="F53">
        <v>5</v>
      </c>
      <c r="G53" s="14" t="s">
        <v>10</v>
      </c>
      <c r="H53" s="1">
        <v>1</v>
      </c>
    </row>
    <row r="54" spans="1:8">
      <c r="A54" s="1">
        <v>53</v>
      </c>
      <c r="B54" s="8">
        <v>48.76667</v>
      </c>
      <c r="C54" s="8">
        <v>18.63333</v>
      </c>
      <c r="D54" s="8" t="s">
        <v>66</v>
      </c>
      <c r="E54" s="8" t="s">
        <v>61</v>
      </c>
      <c r="F54">
        <v>5</v>
      </c>
      <c r="G54" s="14" t="s">
        <v>10</v>
      </c>
      <c r="H54" s="1">
        <v>1</v>
      </c>
    </row>
    <row r="55" spans="1:8">
      <c r="A55" s="1">
        <v>54</v>
      </c>
      <c r="B55" s="8">
        <v>49.05</v>
      </c>
      <c r="C55" s="8">
        <v>20.3</v>
      </c>
      <c r="D55" s="16" t="s">
        <v>67</v>
      </c>
      <c r="E55" s="8" t="s">
        <v>61</v>
      </c>
      <c r="F55">
        <v>5</v>
      </c>
      <c r="G55" s="13" t="b">
        <v>1</v>
      </c>
      <c r="H55" s="1">
        <v>1</v>
      </c>
    </row>
    <row r="56" spans="1:8">
      <c r="A56" s="1">
        <v>55</v>
      </c>
      <c r="B56" s="8">
        <v>48.73333</v>
      </c>
      <c r="C56" s="8">
        <v>19.15</v>
      </c>
      <c r="D56" s="8" t="s">
        <v>68</v>
      </c>
      <c r="E56" s="8" t="s">
        <v>61</v>
      </c>
      <c r="F56">
        <v>5</v>
      </c>
      <c r="G56" s="14" t="s">
        <v>10</v>
      </c>
      <c r="H56" s="1">
        <v>1</v>
      </c>
    </row>
    <row r="57" spans="1:8">
      <c r="A57" s="1">
        <v>56</v>
      </c>
      <c r="B57" s="8">
        <v>48.14816</v>
      </c>
      <c r="C57" s="8">
        <v>17.10674</v>
      </c>
      <c r="D57" s="16" t="s">
        <v>69</v>
      </c>
      <c r="E57" s="8" t="s">
        <v>61</v>
      </c>
      <c r="F57">
        <v>5</v>
      </c>
      <c r="G57" s="13" t="b">
        <v>1</v>
      </c>
      <c r="H57" s="1">
        <v>1</v>
      </c>
    </row>
    <row r="58" spans="1:8">
      <c r="A58" s="1">
        <v>57</v>
      </c>
      <c r="B58" s="8">
        <v>48.71667</v>
      </c>
      <c r="C58" s="8">
        <v>21.25</v>
      </c>
      <c r="D58" s="8" t="s">
        <v>70</v>
      </c>
      <c r="E58" s="8" t="s">
        <v>61</v>
      </c>
      <c r="F58">
        <v>5</v>
      </c>
      <c r="G58" s="14" t="s">
        <v>10</v>
      </c>
      <c r="H58" s="1">
        <v>1</v>
      </c>
    </row>
    <row r="59" spans="1:8">
      <c r="A59" s="1">
        <v>58</v>
      </c>
      <c r="B59" s="8">
        <v>49</v>
      </c>
      <c r="C59" s="8">
        <v>21.25</v>
      </c>
      <c r="D59" s="8" t="s">
        <v>71</v>
      </c>
      <c r="E59" s="8" t="s">
        <v>61</v>
      </c>
      <c r="F59">
        <v>5</v>
      </c>
      <c r="G59" s="14" t="s">
        <v>10</v>
      </c>
      <c r="H59" s="1">
        <v>1</v>
      </c>
    </row>
    <row r="60" spans="1:8">
      <c r="A60" s="1">
        <v>59</v>
      </c>
      <c r="B60" s="8">
        <v>48.75</v>
      </c>
      <c r="C60" s="8">
        <v>21.93333</v>
      </c>
      <c r="D60" s="8" t="s">
        <v>72</v>
      </c>
      <c r="E60" s="8" t="s">
        <v>61</v>
      </c>
      <c r="F60">
        <v>5</v>
      </c>
      <c r="G60" s="14" t="s">
        <v>10</v>
      </c>
      <c r="H60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workbookViewId="0">
      <pane ySplit="1" topLeftCell="A95" activePane="bottomLeft" state="frozen"/>
      <selection/>
      <selection pane="bottomLeft" activeCell="F40" sqref="F40"/>
    </sheetView>
  </sheetViews>
  <sheetFormatPr defaultColWidth="9" defaultRowHeight="14.4"/>
  <cols>
    <col min="2" max="2" width="7.11111111111111" customWidth="1"/>
    <col min="3" max="3" width="19.4444444444444" customWidth="1"/>
    <col min="4" max="4" width="7.77777777777778" customWidth="1"/>
    <col min="5" max="5" width="23" customWidth="1"/>
    <col min="6" max="6" width="16.4444444444444" customWidth="1"/>
    <col min="7" max="7" width="14.5555555555556" customWidth="1"/>
    <col min="8" max="8" width="18" customWidth="1"/>
    <col min="9" max="12" width="9.66666666666667"/>
    <col min="13" max="13" width="12.8888888888889"/>
  </cols>
  <sheetData>
    <row r="1" spans="1:1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>
      <c r="A2">
        <v>1</v>
      </c>
      <c r="B2" s="1" cm="1">
        <f t="array" ref="B2">INDEX([1]Nodes!$A:$A,MATCH(C2,[1]Nodes!$D:$D,0))</f>
        <v>2</v>
      </c>
      <c r="C2" s="2" t="s">
        <v>11</v>
      </c>
      <c r="D2" s="2" cm="1">
        <f t="array" ref="D2">INDEX([1]Nodes!$A:$A,MATCH(E2,[1]Nodes!$D:$D,0))</f>
        <v>1</v>
      </c>
      <c r="E2" s="2" t="s">
        <v>8</v>
      </c>
      <c r="F2" s="1">
        <f>6371*2*ASIN(SQRT(SIN(RADIANS((K2-I2)/2))^2+COS(RADIANS(I2))*COS(RADIANS(K2))*SIN(RADIANS((L2-J2)/2))^2))</f>
        <v>266.498918222395</v>
      </c>
      <c r="G2" s="3">
        <f>(0.9999)^F2</f>
        <v>0.973700785378713</v>
      </c>
      <c r="H2" s="1" t="s">
        <v>85</v>
      </c>
      <c r="I2">
        <f>_xlfn.XLOOKUP(B2,Nodes!$A:$A,Nodes!$B:$B)</f>
        <v>50.1</v>
      </c>
      <c r="J2">
        <f>_xlfn.XLOOKUP(B2,Nodes!$A:$A,Nodes!$C:$C)</f>
        <v>8.67</v>
      </c>
      <c r="K2">
        <f>_xlfn.XLOOKUP(D2,Nodes!$A:$A,Nodes!$B:$B)</f>
        <v>52.39</v>
      </c>
      <c r="L2">
        <f>_xlfn.XLOOKUP(D2,Nodes!$A:$A,Nodes!$C:$C)</f>
        <v>9.8</v>
      </c>
    </row>
    <row r="3" spans="1:12">
      <c r="A3">
        <v>2</v>
      </c>
      <c r="B3" s="1" cm="1">
        <f t="array" ref="B3">INDEX([1]Nodes!$A:$A,MATCH(C3,[1]Nodes!$D:$D,0))</f>
        <v>3</v>
      </c>
      <c r="C3" s="2" t="s">
        <v>12</v>
      </c>
      <c r="D3" s="2" cm="1">
        <f t="array" ref="D3">INDEX([1]Nodes!$A:$A,MATCH(E3,[1]Nodes!$D:$D,0))</f>
        <v>1</v>
      </c>
      <c r="E3" s="2" t="s">
        <v>8</v>
      </c>
      <c r="F3" s="1">
        <f t="shared" ref="F3:F45" si="0">6371*2*ASIN(SQRT(SIN(RADIANS((K3-I3)/2))^2+COS(RADIANS(I3))*COS(RADIANS(K3))*SIN(RADIANS((L3-J3)/2))^2))</f>
        <v>129.824549138215</v>
      </c>
      <c r="G3" s="3">
        <f t="shared" ref="G3:G31" si="1">(0.9999)^F3</f>
        <v>0.987100812855914</v>
      </c>
      <c r="H3" s="1" t="s">
        <v>85</v>
      </c>
      <c r="I3">
        <f>_xlfn.XLOOKUP(B3,Nodes!$A:$A,Nodes!$B:$B)</f>
        <v>53.55</v>
      </c>
      <c r="J3">
        <f>_xlfn.XLOOKUP(B3,Nodes!$A:$A,Nodes!$C:$C)</f>
        <v>10.02</v>
      </c>
      <c r="K3">
        <f>_xlfn.XLOOKUP(D3,Nodes!$A:$A,Nodes!$B:$B)</f>
        <v>52.39</v>
      </c>
      <c r="L3">
        <f>_xlfn.XLOOKUP(D3,Nodes!$A:$A,Nodes!$C:$C)</f>
        <v>9.8</v>
      </c>
    </row>
    <row r="4" spans="1:12">
      <c r="A4">
        <v>3</v>
      </c>
      <c r="B4" s="1" cm="1">
        <f t="array" ref="B4">INDEX([1]Nodes!$A:$A,MATCH(C4,[1]Nodes!$D:$D,0))</f>
        <v>5</v>
      </c>
      <c r="C4" s="2" t="s">
        <v>14</v>
      </c>
      <c r="D4" s="2" cm="1">
        <f t="array" ref="D4">INDEX([1]Nodes!$A:$A,MATCH(E4,[1]Nodes!$D:$D,0))</f>
        <v>1</v>
      </c>
      <c r="E4" s="2" t="s">
        <v>8</v>
      </c>
      <c r="F4" s="1">
        <f t="shared" si="0"/>
        <v>102.075478115774</v>
      </c>
      <c r="G4" s="3">
        <f t="shared" si="1"/>
        <v>0.989843867167346</v>
      </c>
      <c r="H4" s="1" t="s">
        <v>85</v>
      </c>
      <c r="I4">
        <f>_xlfn.XLOOKUP(B4,Nodes!$A:$A,Nodes!$B:$B)</f>
        <v>53.08</v>
      </c>
      <c r="J4">
        <f>_xlfn.XLOOKUP(B4,Nodes!$A:$A,Nodes!$C:$C)</f>
        <v>8.8</v>
      </c>
      <c r="K4">
        <f>_xlfn.XLOOKUP(D4,Nodes!$A:$A,Nodes!$B:$B)</f>
        <v>52.39</v>
      </c>
      <c r="L4">
        <f>_xlfn.XLOOKUP(D4,Nodes!$A:$A,Nodes!$C:$C)</f>
        <v>9.8</v>
      </c>
    </row>
    <row r="5" spans="1:12">
      <c r="A5">
        <v>4</v>
      </c>
      <c r="B5" s="1" cm="1">
        <f t="array" ref="B5">INDEX([1]Nodes!$A:$A,MATCH(C5,[1]Nodes!$D:$D,0))</f>
        <v>6</v>
      </c>
      <c r="C5" s="2" t="s">
        <v>15</v>
      </c>
      <c r="D5" s="2" cm="1">
        <f t="array" ref="D5">INDEX([1]Nodes!$A:$A,MATCH(E5,[1]Nodes!$D:$D,0))</f>
        <v>1</v>
      </c>
      <c r="E5" s="2" t="s">
        <v>8</v>
      </c>
      <c r="F5" s="1">
        <f t="shared" si="0"/>
        <v>244.340031840376</v>
      </c>
      <c r="G5" s="3">
        <f t="shared" si="1"/>
        <v>0.975860898294401</v>
      </c>
      <c r="H5" s="1" t="s">
        <v>85</v>
      </c>
      <c r="I5">
        <f>_xlfn.XLOOKUP(B5,Nodes!$A:$A,Nodes!$B:$B)</f>
        <v>52.52</v>
      </c>
      <c r="J5">
        <f>_xlfn.XLOOKUP(B5,Nodes!$A:$A,Nodes!$C:$C)</f>
        <v>13.4</v>
      </c>
      <c r="K5">
        <f>_xlfn.XLOOKUP(D5,Nodes!$A:$A,Nodes!$B:$B)</f>
        <v>52.39</v>
      </c>
      <c r="L5">
        <f>_xlfn.XLOOKUP(D5,Nodes!$A:$A,Nodes!$C:$C)</f>
        <v>9.8</v>
      </c>
    </row>
    <row r="6" spans="1:12">
      <c r="A6">
        <v>5</v>
      </c>
      <c r="B6" s="1" cm="1">
        <f t="array" ref="B6">INDEX([1]Nodes!$A:$A,MATCH(C6,[1]Nodes!$D:$D,0))</f>
        <v>14</v>
      </c>
      <c r="C6" s="2" t="s">
        <v>23</v>
      </c>
      <c r="D6" s="2" cm="1">
        <f t="array" ref="D6">INDEX([1]Nodes!$A:$A,MATCH(E6,[1]Nodes!$D:$D,0))</f>
        <v>1</v>
      </c>
      <c r="E6" s="2" t="s">
        <v>8</v>
      </c>
      <c r="F6" s="1">
        <f t="shared" si="0"/>
        <v>186.684593080072</v>
      </c>
      <c r="G6" s="3">
        <f t="shared" si="1"/>
        <v>0.981503800839037</v>
      </c>
      <c r="H6" s="1" t="s">
        <v>85</v>
      </c>
      <c r="I6">
        <f>_xlfn.XLOOKUP(B6,Nodes!$A:$A,Nodes!$B:$B)</f>
        <v>51.51</v>
      </c>
      <c r="J6">
        <f>_xlfn.XLOOKUP(B6,Nodes!$A:$A,Nodes!$C:$C)</f>
        <v>7.48</v>
      </c>
      <c r="K6">
        <f>_xlfn.XLOOKUP(D6,Nodes!$A:$A,Nodes!$B:$B)</f>
        <v>52.39</v>
      </c>
      <c r="L6">
        <f>_xlfn.XLOOKUP(D6,Nodes!$A:$A,Nodes!$C:$C)</f>
        <v>9.8</v>
      </c>
    </row>
    <row r="7" spans="1:12">
      <c r="A7">
        <v>6</v>
      </c>
      <c r="B7" s="1" cm="1">
        <f t="array" ref="B7">INDEX([1]Nodes!$A:$A,MATCH(C7,[1]Nodes!$D:$D,0))</f>
        <v>15</v>
      </c>
      <c r="C7" s="2" t="s">
        <v>24</v>
      </c>
      <c r="D7" s="2" cm="1">
        <f t="array" ref="D7">INDEX([1]Nodes!$A:$A,MATCH(E7,[1]Nodes!$D:$D,0))</f>
        <v>2</v>
      </c>
      <c r="E7" s="2" t="s">
        <v>11</v>
      </c>
      <c r="F7" s="1">
        <f t="shared" si="0"/>
        <v>183.10841072907</v>
      </c>
      <c r="G7" s="3">
        <f t="shared" si="1"/>
        <v>0.981854884823805</v>
      </c>
      <c r="H7" s="1" t="s">
        <v>85</v>
      </c>
      <c r="I7">
        <f>_xlfn.XLOOKUP(B7,Nodes!$A:$A,Nodes!$B:$B)</f>
        <v>51.23</v>
      </c>
      <c r="J7">
        <f>_xlfn.XLOOKUP(B7,Nodes!$A:$A,Nodes!$C:$C)</f>
        <v>6.78</v>
      </c>
      <c r="K7">
        <f>_xlfn.XLOOKUP(D7,Nodes!$A:$A,Nodes!$B:$B)</f>
        <v>50.1</v>
      </c>
      <c r="L7">
        <f>_xlfn.XLOOKUP(D7,Nodes!$A:$A,Nodes!$C:$C)</f>
        <v>8.67</v>
      </c>
    </row>
    <row r="8" spans="1:12">
      <c r="A8">
        <v>7</v>
      </c>
      <c r="B8" s="1" cm="1">
        <f t="array" ref="B8">INDEX([1]Nodes!$A:$A,MATCH(C8,[1]Nodes!$D:$D,0))</f>
        <v>2</v>
      </c>
      <c r="C8" s="2" t="s">
        <v>11</v>
      </c>
      <c r="D8" s="2" cm="1">
        <f t="array" ref="D8">INDEX([1]Nodes!$A:$A,MATCH(E8,[1]Nodes!$D:$D,0))</f>
        <v>3</v>
      </c>
      <c r="E8" s="2" t="s">
        <v>12</v>
      </c>
      <c r="F8" s="1">
        <f t="shared" si="0"/>
        <v>394.662930603521</v>
      </c>
      <c r="G8" s="3">
        <f t="shared" si="1"/>
        <v>0.961300458928384</v>
      </c>
      <c r="H8" s="1" t="s">
        <v>85</v>
      </c>
      <c r="I8">
        <f>_xlfn.XLOOKUP(B8,Nodes!$A:$A,Nodes!$B:$B)</f>
        <v>50.1</v>
      </c>
      <c r="J8">
        <f>_xlfn.XLOOKUP(B8,Nodes!$A:$A,Nodes!$C:$C)</f>
        <v>8.67</v>
      </c>
      <c r="K8">
        <f>_xlfn.XLOOKUP(D8,Nodes!$A:$A,Nodes!$B:$B)</f>
        <v>53.55</v>
      </c>
      <c r="L8">
        <f>_xlfn.XLOOKUP(D8,Nodes!$A:$A,Nodes!$C:$C)</f>
        <v>10.02</v>
      </c>
    </row>
    <row r="9" spans="1:12">
      <c r="A9">
        <v>8</v>
      </c>
      <c r="B9" s="1" cm="1">
        <f t="array" ref="B9">INDEX([1]Nodes!$A:$A,MATCH(C9,[1]Nodes!$D:$D,0))</f>
        <v>5</v>
      </c>
      <c r="C9" s="2" t="s">
        <v>14</v>
      </c>
      <c r="D9" s="2" cm="1">
        <f t="array" ref="D9">INDEX([1]Nodes!$A:$A,MATCH(E9,[1]Nodes!$D:$D,0))</f>
        <v>3</v>
      </c>
      <c r="E9" s="2" t="s">
        <v>12</v>
      </c>
      <c r="F9" s="1">
        <f t="shared" si="0"/>
        <v>96.4314135727881</v>
      </c>
      <c r="G9" s="3">
        <f t="shared" si="1"/>
        <v>0.990402727075417</v>
      </c>
      <c r="H9" s="1" t="s">
        <v>85</v>
      </c>
      <c r="I9">
        <f>_xlfn.XLOOKUP(B9,Nodes!$A:$A,Nodes!$B:$B)</f>
        <v>53.08</v>
      </c>
      <c r="J9">
        <f>_xlfn.XLOOKUP(B9,Nodes!$A:$A,Nodes!$C:$C)</f>
        <v>8.8</v>
      </c>
      <c r="K9">
        <f>_xlfn.XLOOKUP(D9,Nodes!$A:$A,Nodes!$B:$B)</f>
        <v>53.55</v>
      </c>
      <c r="L9">
        <f>_xlfn.XLOOKUP(D9,Nodes!$A:$A,Nodes!$C:$C)</f>
        <v>10.02</v>
      </c>
    </row>
    <row r="10" spans="1:12">
      <c r="A10">
        <v>9</v>
      </c>
      <c r="B10" s="1" cm="1">
        <f t="array" ref="B10">INDEX([1]Nodes!$A:$A,MATCH(C10,[1]Nodes!$D:$D,0))</f>
        <v>6</v>
      </c>
      <c r="C10" s="2" t="s">
        <v>15</v>
      </c>
      <c r="D10" s="2" cm="1">
        <f t="array" ref="D10">INDEX([1]Nodes!$A:$A,MATCH(E10,[1]Nodes!$D:$D,0))</f>
        <v>3</v>
      </c>
      <c r="E10" s="2" t="s">
        <v>12</v>
      </c>
      <c r="F10" s="1">
        <f t="shared" si="0"/>
        <v>253.330053387685</v>
      </c>
      <c r="G10" s="3">
        <f t="shared" si="1"/>
        <v>0.974983947645181</v>
      </c>
      <c r="H10" s="1" t="s">
        <v>85</v>
      </c>
      <c r="I10">
        <f>_xlfn.XLOOKUP(B10,Nodes!$A:$A,Nodes!$B:$B)</f>
        <v>52.52</v>
      </c>
      <c r="J10">
        <f>_xlfn.XLOOKUP(B10,Nodes!$A:$A,Nodes!$C:$C)</f>
        <v>13.4</v>
      </c>
      <c r="K10">
        <f>_xlfn.XLOOKUP(D10,Nodes!$A:$A,Nodes!$B:$B)</f>
        <v>53.55</v>
      </c>
      <c r="L10">
        <f>_xlfn.XLOOKUP(D10,Nodes!$A:$A,Nodes!$C:$C)</f>
        <v>10.02</v>
      </c>
    </row>
    <row r="11" spans="1:12">
      <c r="A11">
        <v>10</v>
      </c>
      <c r="B11" s="1" cm="1">
        <f t="array" ref="B11">INDEX([1]Nodes!$A:$A,MATCH(C11,[1]Nodes!$D:$D,0))</f>
        <v>5</v>
      </c>
      <c r="C11" s="2" t="s">
        <v>14</v>
      </c>
      <c r="D11" s="2" cm="1">
        <f t="array" ref="D11">INDEX([1]Nodes!$A:$A,MATCH(E11,[1]Nodes!$D:$D,0))</f>
        <v>4</v>
      </c>
      <c r="E11" s="2" t="s">
        <v>13</v>
      </c>
      <c r="F11" s="1">
        <f t="shared" si="0"/>
        <v>120.355740698587</v>
      </c>
      <c r="G11" s="3">
        <f t="shared" si="1"/>
        <v>0.98803596913617</v>
      </c>
      <c r="H11" s="1" t="s">
        <v>85</v>
      </c>
      <c r="I11">
        <f>_xlfn.XLOOKUP(B11,Nodes!$A:$A,Nodes!$B:$B)</f>
        <v>53.08</v>
      </c>
      <c r="J11">
        <f>_xlfn.XLOOKUP(B11,Nodes!$A:$A,Nodes!$C:$C)</f>
        <v>8.8</v>
      </c>
      <c r="K11">
        <f>_xlfn.XLOOKUP(D11,Nodes!$A:$A,Nodes!$B:$B)</f>
        <v>53.6</v>
      </c>
      <c r="L11">
        <f>_xlfn.XLOOKUP(D11,Nodes!$A:$A,Nodes!$C:$C)</f>
        <v>7.21</v>
      </c>
    </row>
    <row r="12" spans="1:12">
      <c r="A12">
        <v>11</v>
      </c>
      <c r="B12" s="1" cm="1">
        <f t="array" ref="B12">INDEX([1]Nodes!$A:$A,MATCH(C12,[1]Nodes!$D:$D,0))</f>
        <v>14</v>
      </c>
      <c r="C12" s="2" t="s">
        <v>23</v>
      </c>
      <c r="D12" s="2" cm="1">
        <f t="array" ref="D12">INDEX([1]Nodes!$A:$A,MATCH(E12,[1]Nodes!$D:$D,0))</f>
        <v>4</v>
      </c>
      <c r="E12" s="2" t="s">
        <v>13</v>
      </c>
      <c r="F12" s="1">
        <f t="shared" si="0"/>
        <v>233.112682838056</v>
      </c>
      <c r="G12" s="3">
        <f t="shared" si="1"/>
        <v>0.976957201512538</v>
      </c>
      <c r="H12" s="1" t="s">
        <v>85</v>
      </c>
      <c r="I12">
        <f>_xlfn.XLOOKUP(B12,Nodes!$A:$A,Nodes!$B:$B)</f>
        <v>51.51</v>
      </c>
      <c r="J12">
        <f>_xlfn.XLOOKUP(B12,Nodes!$A:$A,Nodes!$C:$C)</f>
        <v>7.48</v>
      </c>
      <c r="K12">
        <f>_xlfn.XLOOKUP(D12,Nodes!$A:$A,Nodes!$B:$B)</f>
        <v>53.6</v>
      </c>
      <c r="L12">
        <f>_xlfn.XLOOKUP(D12,Nodes!$A:$A,Nodes!$C:$C)</f>
        <v>7.21</v>
      </c>
    </row>
    <row r="13" spans="1:12">
      <c r="A13">
        <v>12</v>
      </c>
      <c r="B13" s="1" cm="1">
        <f t="array" ref="B13">INDEX([1]Nodes!$A:$A,MATCH(C13,[1]Nodes!$D:$D,0))</f>
        <v>2</v>
      </c>
      <c r="C13" s="2" t="s">
        <v>11</v>
      </c>
      <c r="D13" s="2" cm="1">
        <f t="array" ref="D13">INDEX([1]Nodes!$A:$A,MATCH(E13,[1]Nodes!$D:$D,0))</f>
        <v>7</v>
      </c>
      <c r="E13" s="2" t="s">
        <v>16</v>
      </c>
      <c r="F13" s="1">
        <f t="shared" si="0"/>
        <v>304.149139609311</v>
      </c>
      <c r="G13" s="3">
        <f t="shared" si="1"/>
        <v>0.970041490383712</v>
      </c>
      <c r="H13" s="1" t="s">
        <v>85</v>
      </c>
      <c r="I13">
        <f>_xlfn.XLOOKUP(B13,Nodes!$A:$A,Nodes!$B:$B)</f>
        <v>50.1</v>
      </c>
      <c r="J13">
        <f>_xlfn.XLOOKUP(B13,Nodes!$A:$A,Nodes!$C:$C)</f>
        <v>8.67</v>
      </c>
      <c r="K13">
        <f>_xlfn.XLOOKUP(D13,Nodes!$A:$A,Nodes!$B:$B)</f>
        <v>48.13</v>
      </c>
      <c r="L13">
        <f>_xlfn.XLOOKUP(D13,Nodes!$A:$A,Nodes!$C:$C)</f>
        <v>11.57</v>
      </c>
    </row>
    <row r="14" spans="1:12">
      <c r="A14">
        <v>13</v>
      </c>
      <c r="B14" s="1" cm="1">
        <f t="array" ref="B14">INDEX([1]Nodes!$A:$A,MATCH(C14,[1]Nodes!$D:$D,0))</f>
        <v>6</v>
      </c>
      <c r="C14" s="2" t="s">
        <v>15</v>
      </c>
      <c r="D14" s="2" cm="1">
        <f t="array" ref="D14">INDEX([1]Nodes!$A:$A,MATCH(E14,[1]Nodes!$D:$D,0))</f>
        <v>7</v>
      </c>
      <c r="E14" s="2" t="s">
        <v>16</v>
      </c>
      <c r="F14" s="1">
        <f t="shared" si="0"/>
        <v>505.092435700466</v>
      </c>
      <c r="G14" s="3">
        <f t="shared" si="1"/>
        <v>0.950742739124469</v>
      </c>
      <c r="H14" s="1" t="s">
        <v>85</v>
      </c>
      <c r="I14">
        <f>_xlfn.XLOOKUP(B14,Nodes!$A:$A,Nodes!$B:$B)</f>
        <v>52.52</v>
      </c>
      <c r="J14">
        <f>_xlfn.XLOOKUP(B14,Nodes!$A:$A,Nodes!$C:$C)</f>
        <v>13.4</v>
      </c>
      <c r="K14">
        <f>_xlfn.XLOOKUP(D14,Nodes!$A:$A,Nodes!$B:$B)</f>
        <v>48.13</v>
      </c>
      <c r="L14">
        <f>_xlfn.XLOOKUP(D14,Nodes!$A:$A,Nodes!$C:$C)</f>
        <v>11.57</v>
      </c>
    </row>
    <row r="15" spans="1:12">
      <c r="A15">
        <v>14</v>
      </c>
      <c r="B15" s="1" cm="1">
        <f t="array" ref="B15">INDEX([1]Nodes!$A:$A,MATCH(C15,[1]Nodes!$D:$D,0))</f>
        <v>7</v>
      </c>
      <c r="C15" s="2" t="s">
        <v>16</v>
      </c>
      <c r="D15" s="2" cm="1">
        <f t="array" ref="D15">INDEX([1]Nodes!$A:$A,MATCH(E15,[1]Nodes!$D:$D,0))</f>
        <v>8</v>
      </c>
      <c r="E15" s="2" t="s">
        <v>17</v>
      </c>
      <c r="F15" s="1">
        <f t="shared" si="0"/>
        <v>120.742618161443</v>
      </c>
      <c r="G15" s="3">
        <f t="shared" si="1"/>
        <v>0.987997743079385</v>
      </c>
      <c r="H15" s="1" t="s">
        <v>85</v>
      </c>
      <c r="I15">
        <f>_xlfn.XLOOKUP(B15,Nodes!$A:$A,Nodes!$B:$B)</f>
        <v>48.13</v>
      </c>
      <c r="J15">
        <f>_xlfn.XLOOKUP(B15,Nodes!$A:$A,Nodes!$C:$C)</f>
        <v>11.57</v>
      </c>
      <c r="K15">
        <f>_xlfn.XLOOKUP(D15,Nodes!$A:$A,Nodes!$B:$B)</f>
        <v>48.4</v>
      </c>
      <c r="L15">
        <f>_xlfn.XLOOKUP(D15,Nodes!$A:$A,Nodes!$C:$C)</f>
        <v>9.99</v>
      </c>
    </row>
    <row r="16" spans="1:12">
      <c r="A16">
        <v>15</v>
      </c>
      <c r="B16" s="1" cm="1">
        <f t="array" ref="B16">INDEX([1]Nodes!$A:$A,MATCH(C16,[1]Nodes!$D:$D,0))</f>
        <v>10</v>
      </c>
      <c r="C16" s="2" t="s">
        <v>19</v>
      </c>
      <c r="D16" s="2" cm="1">
        <f t="array" ref="D16">INDEX([1]Nodes!$A:$A,MATCH(E16,[1]Nodes!$D:$D,0))</f>
        <v>8</v>
      </c>
      <c r="E16" s="2" t="s">
        <v>17</v>
      </c>
      <c r="F16" s="1">
        <f t="shared" si="0"/>
        <v>73.7892387546033</v>
      </c>
      <c r="G16" s="3">
        <f t="shared" si="1"/>
        <v>0.992647867286617</v>
      </c>
      <c r="H16" s="1" t="s">
        <v>85</v>
      </c>
      <c r="I16">
        <f>_xlfn.XLOOKUP(B16,Nodes!$A:$A,Nodes!$B:$B)</f>
        <v>48.73</v>
      </c>
      <c r="J16">
        <f>_xlfn.XLOOKUP(B16,Nodes!$A:$A,Nodes!$C:$C)</f>
        <v>9.12</v>
      </c>
      <c r="K16">
        <f>_xlfn.XLOOKUP(D16,Nodes!$A:$A,Nodes!$B:$B)</f>
        <v>48.4</v>
      </c>
      <c r="L16">
        <f>_xlfn.XLOOKUP(D16,Nodes!$A:$A,Nodes!$C:$C)</f>
        <v>9.99</v>
      </c>
    </row>
    <row r="17" spans="1:12">
      <c r="A17">
        <v>16</v>
      </c>
      <c r="B17" s="1" cm="1">
        <f t="array" ref="B17">INDEX([1]Nodes!$A:$A,MATCH(C17,[1]Nodes!$D:$D,0))</f>
        <v>2</v>
      </c>
      <c r="C17" s="2" t="s">
        <v>11</v>
      </c>
      <c r="D17" s="2" cm="1">
        <f t="array" ref="D17">INDEX([1]Nodes!$A:$A,MATCH(E17,[1]Nodes!$D:$D,0))</f>
        <v>9</v>
      </c>
      <c r="E17" s="2" t="s">
        <v>18</v>
      </c>
      <c r="F17" s="1">
        <f t="shared" si="0"/>
        <v>187.534160554616</v>
      </c>
      <c r="G17" s="3">
        <f t="shared" si="1"/>
        <v>0.981420414841286</v>
      </c>
      <c r="H17" s="1" t="s">
        <v>85</v>
      </c>
      <c r="I17">
        <f>_xlfn.XLOOKUP(B17,Nodes!$A:$A,Nodes!$B:$B)</f>
        <v>50.1</v>
      </c>
      <c r="J17">
        <f>_xlfn.XLOOKUP(B17,Nodes!$A:$A,Nodes!$C:$C)</f>
        <v>8.67</v>
      </c>
      <c r="K17">
        <f>_xlfn.XLOOKUP(D17,Nodes!$A:$A,Nodes!$B:$B)</f>
        <v>49.45</v>
      </c>
      <c r="L17">
        <f>_xlfn.XLOOKUP(D17,Nodes!$A:$A,Nodes!$C:$C)</f>
        <v>11.08</v>
      </c>
    </row>
    <row r="18" spans="1:12">
      <c r="A18">
        <v>17</v>
      </c>
      <c r="B18" s="1" cm="1">
        <f t="array" ref="B18">INDEX([1]Nodes!$A:$A,MATCH(C18,[1]Nodes!$D:$D,0))</f>
        <v>7</v>
      </c>
      <c r="C18" s="2" t="s">
        <v>16</v>
      </c>
      <c r="D18" s="2" cm="1">
        <f t="array" ref="D18">INDEX([1]Nodes!$A:$A,MATCH(E18,[1]Nodes!$D:$D,0))</f>
        <v>9</v>
      </c>
      <c r="E18" s="2" t="s">
        <v>18</v>
      </c>
      <c r="F18" s="1">
        <f t="shared" si="0"/>
        <v>151.102047241511</v>
      </c>
      <c r="G18" s="3">
        <f t="shared" si="1"/>
        <v>0.985002637365943</v>
      </c>
      <c r="H18" s="1" t="s">
        <v>85</v>
      </c>
      <c r="I18">
        <f>_xlfn.XLOOKUP(B18,Nodes!$A:$A,Nodes!$B:$B)</f>
        <v>48.13</v>
      </c>
      <c r="J18">
        <f>_xlfn.XLOOKUP(B18,Nodes!$A:$A,Nodes!$C:$C)</f>
        <v>11.57</v>
      </c>
      <c r="K18">
        <f>_xlfn.XLOOKUP(D18,Nodes!$A:$A,Nodes!$B:$B)</f>
        <v>49.45</v>
      </c>
      <c r="L18">
        <f>_xlfn.XLOOKUP(D18,Nodes!$A:$A,Nodes!$C:$C)</f>
        <v>11.08</v>
      </c>
    </row>
    <row r="19" spans="1:12">
      <c r="A19">
        <v>18</v>
      </c>
      <c r="B19" s="1" cm="1">
        <f t="array" ref="B19">INDEX([1]Nodes!$A:$A,MATCH(C19,[1]Nodes!$D:$D,0))</f>
        <v>17</v>
      </c>
      <c r="C19" s="2" t="s">
        <v>26</v>
      </c>
      <c r="D19" s="2" cm="1">
        <f t="array" ref="D19">INDEX([1]Nodes!$A:$A,MATCH(E19,[1]Nodes!$D:$D,0))</f>
        <v>9</v>
      </c>
      <c r="E19" s="2" t="s">
        <v>18</v>
      </c>
      <c r="F19" s="1">
        <f t="shared" si="0"/>
        <v>229.464814490452</v>
      </c>
      <c r="G19" s="3">
        <f t="shared" si="1"/>
        <v>0.977313665473997</v>
      </c>
      <c r="H19" s="1" t="s">
        <v>85</v>
      </c>
      <c r="I19">
        <f>_xlfn.XLOOKUP(B19,Nodes!$A:$A,Nodes!$B:$B)</f>
        <v>51.34</v>
      </c>
      <c r="J19">
        <f>_xlfn.XLOOKUP(B19,Nodes!$A:$A,Nodes!$C:$C)</f>
        <v>12.38</v>
      </c>
      <c r="K19">
        <f>_xlfn.XLOOKUP(D19,Nodes!$A:$A,Nodes!$B:$B)</f>
        <v>49.45</v>
      </c>
      <c r="L19">
        <f>_xlfn.XLOOKUP(D19,Nodes!$A:$A,Nodes!$C:$C)</f>
        <v>11.08</v>
      </c>
    </row>
    <row r="20" spans="1:12">
      <c r="A20">
        <v>19</v>
      </c>
      <c r="B20" s="1" cm="1">
        <f t="array" ref="B20">INDEX([1]Nodes!$A:$A,MATCH(C20,[1]Nodes!$D:$D,0))</f>
        <v>9</v>
      </c>
      <c r="C20" s="2" t="s">
        <v>18</v>
      </c>
      <c r="D20" s="4">
        <f>_xlfn.XLOOKUP(E20,Nodes!$D:$D,Nodes!$A:$A)</f>
        <v>10</v>
      </c>
      <c r="E20" s="2" t="s">
        <v>19</v>
      </c>
      <c r="F20" s="1">
        <f t="shared" si="0"/>
        <v>163.638057111158</v>
      </c>
      <c r="G20" s="3">
        <f t="shared" si="1"/>
        <v>0.983768549070911</v>
      </c>
      <c r="H20" s="1" t="s">
        <v>85</v>
      </c>
      <c r="I20">
        <f>_xlfn.XLOOKUP(B20,Nodes!$A:$A,Nodes!$B:$B)</f>
        <v>49.45</v>
      </c>
      <c r="J20">
        <f>_xlfn.XLOOKUP(B20,Nodes!$A:$A,Nodes!$C:$C)</f>
        <v>11.08</v>
      </c>
      <c r="K20">
        <f>_xlfn.XLOOKUP(D20,Nodes!$A:$A,Nodes!$B:$B)</f>
        <v>48.73</v>
      </c>
      <c r="L20">
        <f>_xlfn.XLOOKUP(D20,Nodes!$A:$A,Nodes!$C:$C)</f>
        <v>9.12</v>
      </c>
    </row>
    <row r="21" spans="1:12">
      <c r="A21">
        <v>20</v>
      </c>
      <c r="B21" s="1" cm="1">
        <f t="array" ref="B21">INDEX([1]Nodes!$A:$A,MATCH(C21,[1]Nodes!$D:$D,0))</f>
        <v>11</v>
      </c>
      <c r="C21" s="2" t="s">
        <v>20</v>
      </c>
      <c r="D21" s="4">
        <f>_xlfn.XLOOKUP(E21,Nodes!$D:$D,Nodes!$A:$A)</f>
        <v>10</v>
      </c>
      <c r="E21" s="2" t="s">
        <v>19</v>
      </c>
      <c r="F21" s="1">
        <f t="shared" si="0"/>
        <v>60.5477243636347</v>
      </c>
      <c r="G21" s="3">
        <f t="shared" si="1"/>
        <v>0.993963219828102</v>
      </c>
      <c r="H21" s="1" t="s">
        <v>85</v>
      </c>
      <c r="I21">
        <f>_xlfn.XLOOKUP(B21,Nodes!$A:$A,Nodes!$B:$B)</f>
        <v>49.01</v>
      </c>
      <c r="J21">
        <f>_xlfn.XLOOKUP(B21,Nodes!$A:$A,Nodes!$C:$C)</f>
        <v>8.41</v>
      </c>
      <c r="K21">
        <f>_xlfn.XLOOKUP(D21,Nodes!$A:$A,Nodes!$B:$B)</f>
        <v>48.73</v>
      </c>
      <c r="L21">
        <f>_xlfn.XLOOKUP(D21,Nodes!$A:$A,Nodes!$C:$C)</f>
        <v>9.12</v>
      </c>
    </row>
    <row r="22" spans="1:12">
      <c r="A22">
        <v>21</v>
      </c>
      <c r="B22" s="1" cm="1">
        <f t="array" ref="B22">INDEX([1]Nodes!$A:$A,MATCH(C22,[1]Nodes!$D:$D,0))</f>
        <v>2</v>
      </c>
      <c r="C22" s="2" t="s">
        <v>11</v>
      </c>
      <c r="D22" s="4">
        <f>_xlfn.XLOOKUP(E22,Nodes!$D:$D,Nodes!$A:$A)</f>
        <v>12</v>
      </c>
      <c r="E22" s="2" t="s">
        <v>21</v>
      </c>
      <c r="F22" s="1">
        <f t="shared" si="0"/>
        <v>69.0484202631884</v>
      </c>
      <c r="G22" s="3">
        <f t="shared" si="1"/>
        <v>0.993118598733851</v>
      </c>
      <c r="H22" s="1" t="s">
        <v>85</v>
      </c>
      <c r="I22">
        <f>_xlfn.XLOOKUP(B22,Nodes!$A:$A,Nodes!$B:$B)</f>
        <v>50.1</v>
      </c>
      <c r="J22">
        <f>_xlfn.XLOOKUP(B22,Nodes!$A:$A,Nodes!$C:$C)</f>
        <v>8.67</v>
      </c>
      <c r="K22">
        <f>_xlfn.XLOOKUP(D22,Nodes!$A:$A,Nodes!$B:$B)</f>
        <v>49.49</v>
      </c>
      <c r="L22">
        <f>_xlfn.XLOOKUP(D22,Nodes!$A:$A,Nodes!$C:$C)</f>
        <v>8.49</v>
      </c>
    </row>
    <row r="23" spans="1:12">
      <c r="A23">
        <v>22</v>
      </c>
      <c r="B23" s="1" cm="1">
        <f t="array" ref="B23">INDEX([1]Nodes!$A:$A,MATCH(C23,[1]Nodes!$D:$D,0))</f>
        <v>11</v>
      </c>
      <c r="C23" s="2" t="s">
        <v>20</v>
      </c>
      <c r="D23" s="4">
        <f>_xlfn.XLOOKUP(E23,Nodes!$D:$D,Nodes!$A:$A)</f>
        <v>12</v>
      </c>
      <c r="E23" s="2" t="s">
        <v>21</v>
      </c>
      <c r="F23" s="1">
        <f t="shared" si="0"/>
        <v>53.68849058592</v>
      </c>
      <c r="G23" s="3">
        <f t="shared" si="1"/>
        <v>0.994645270430809</v>
      </c>
      <c r="H23" s="1" t="s">
        <v>85</v>
      </c>
      <c r="I23">
        <f>_xlfn.XLOOKUP(B23,Nodes!$A:$A,Nodes!$B:$B)</f>
        <v>49.01</v>
      </c>
      <c r="J23">
        <f>_xlfn.XLOOKUP(B23,Nodes!$A:$A,Nodes!$C:$C)</f>
        <v>8.41</v>
      </c>
      <c r="K23">
        <f>_xlfn.XLOOKUP(D23,Nodes!$A:$A,Nodes!$B:$B)</f>
        <v>49.49</v>
      </c>
      <c r="L23">
        <f>_xlfn.XLOOKUP(D23,Nodes!$A:$A,Nodes!$C:$C)</f>
        <v>8.49</v>
      </c>
    </row>
    <row r="24" spans="1:12">
      <c r="A24">
        <v>23</v>
      </c>
      <c r="B24" s="1" cm="1">
        <f t="array" ref="B24">INDEX([1]Nodes!$A:$A,MATCH(C24,[1]Nodes!$D:$D,0))</f>
        <v>14</v>
      </c>
      <c r="C24" s="2" t="s">
        <v>23</v>
      </c>
      <c r="D24" s="4">
        <f>_xlfn.XLOOKUP(E24,Nodes!$D:$D,Nodes!$A:$A)</f>
        <v>13</v>
      </c>
      <c r="E24" s="2" t="s">
        <v>22</v>
      </c>
      <c r="F24" s="1">
        <f t="shared" si="0"/>
        <v>34.1430389617937</v>
      </c>
      <c r="G24" s="3">
        <f t="shared" si="1"/>
        <v>0.996591348066692</v>
      </c>
      <c r="H24" s="1" t="s">
        <v>85</v>
      </c>
      <c r="I24">
        <f>_xlfn.XLOOKUP(B24,Nodes!$A:$A,Nodes!$B:$B)</f>
        <v>51.51</v>
      </c>
      <c r="J24">
        <f>_xlfn.XLOOKUP(B24,Nodes!$A:$A,Nodes!$C:$C)</f>
        <v>7.48</v>
      </c>
      <c r="K24">
        <f>_xlfn.XLOOKUP(D24,Nodes!$A:$A,Nodes!$B:$B)</f>
        <v>51.44</v>
      </c>
      <c r="L24">
        <f>_xlfn.XLOOKUP(D24,Nodes!$A:$A,Nodes!$C:$C)</f>
        <v>7</v>
      </c>
    </row>
    <row r="25" spans="1:12">
      <c r="A25">
        <v>24</v>
      </c>
      <c r="B25" s="1" cm="1">
        <f t="array" ref="B25">INDEX([1]Nodes!$A:$A,MATCH(C25,[1]Nodes!$D:$D,0))</f>
        <v>15</v>
      </c>
      <c r="C25" s="2" t="s">
        <v>24</v>
      </c>
      <c r="D25" s="4">
        <f>_xlfn.XLOOKUP(E25,Nodes!$D:$D,Nodes!$A:$A)</f>
        <v>13</v>
      </c>
      <c r="E25" s="2" t="s">
        <v>22</v>
      </c>
      <c r="F25" s="1">
        <f t="shared" si="0"/>
        <v>27.9079217443073</v>
      </c>
      <c r="G25" s="3">
        <f t="shared" si="1"/>
        <v>0.997212959305892</v>
      </c>
      <c r="H25" s="1" t="s">
        <v>85</v>
      </c>
      <c r="I25">
        <f>_xlfn.XLOOKUP(B25,Nodes!$A:$A,Nodes!$B:$B)</f>
        <v>51.23</v>
      </c>
      <c r="J25">
        <f>_xlfn.XLOOKUP(B25,Nodes!$A:$A,Nodes!$C:$C)</f>
        <v>6.78</v>
      </c>
      <c r="K25">
        <f>_xlfn.XLOOKUP(D25,Nodes!$A:$A,Nodes!$B:$B)</f>
        <v>51.44</v>
      </c>
      <c r="L25">
        <f>_xlfn.XLOOKUP(D25,Nodes!$A:$A,Nodes!$C:$C)</f>
        <v>7</v>
      </c>
    </row>
    <row r="26" spans="1:12">
      <c r="A26">
        <v>25</v>
      </c>
      <c r="B26" s="1" cm="1">
        <f t="array" ref="B26">INDEX([1]Nodes!$A:$A,MATCH(C26,[1]Nodes!$D:$D,0))</f>
        <v>2</v>
      </c>
      <c r="C26" s="2" t="s">
        <v>11</v>
      </c>
      <c r="D26" s="4">
        <f>_xlfn.XLOOKUP(E26,Nodes!$D:$D,Nodes!$A:$A)</f>
        <v>16</v>
      </c>
      <c r="E26" s="2" t="s">
        <v>25</v>
      </c>
      <c r="F26" s="1">
        <f t="shared" si="0"/>
        <v>148.630718713433</v>
      </c>
      <c r="G26" s="3">
        <f t="shared" si="1"/>
        <v>0.985246106134706</v>
      </c>
      <c r="H26" s="1" t="s">
        <v>85</v>
      </c>
      <c r="I26">
        <f>_xlfn.XLOOKUP(B26,Nodes!$A:$A,Nodes!$B:$B)</f>
        <v>50.1</v>
      </c>
      <c r="J26">
        <f>_xlfn.XLOOKUP(B26,Nodes!$A:$A,Nodes!$C:$C)</f>
        <v>8.67</v>
      </c>
      <c r="K26">
        <f>_xlfn.XLOOKUP(D26,Nodes!$A:$A,Nodes!$B:$B)</f>
        <v>50.92</v>
      </c>
      <c r="L26">
        <f>_xlfn.XLOOKUP(D26,Nodes!$A:$A,Nodes!$C:$C)</f>
        <v>7.01</v>
      </c>
    </row>
    <row r="27" spans="1:12">
      <c r="A27">
        <v>26</v>
      </c>
      <c r="B27" s="1" cm="1">
        <f t="array" ref="B27">INDEX([1]Nodes!$A:$A,MATCH(C27,[1]Nodes!$D:$D,0))</f>
        <v>14</v>
      </c>
      <c r="C27" s="2" t="s">
        <v>23</v>
      </c>
      <c r="D27" s="4">
        <f>_xlfn.XLOOKUP(E27,Nodes!$D:$D,Nodes!$A:$A)</f>
        <v>16</v>
      </c>
      <c r="E27" s="2" t="s">
        <v>25</v>
      </c>
      <c r="F27" s="1">
        <f t="shared" si="0"/>
        <v>73.3188169662432</v>
      </c>
      <c r="G27" s="3">
        <f t="shared" si="1"/>
        <v>0.992694567038558</v>
      </c>
      <c r="H27" s="1" t="s">
        <v>85</v>
      </c>
      <c r="I27">
        <f>_xlfn.XLOOKUP(B27,Nodes!$A:$A,Nodes!$B:$B)</f>
        <v>51.51</v>
      </c>
      <c r="J27">
        <f>_xlfn.XLOOKUP(B27,Nodes!$A:$A,Nodes!$C:$C)</f>
        <v>7.48</v>
      </c>
      <c r="K27">
        <f>_xlfn.XLOOKUP(D27,Nodes!$A:$A,Nodes!$B:$B)</f>
        <v>50.92</v>
      </c>
      <c r="L27">
        <f>_xlfn.XLOOKUP(D27,Nodes!$A:$A,Nodes!$C:$C)</f>
        <v>7.01</v>
      </c>
    </row>
    <row r="28" spans="1:12">
      <c r="A28">
        <v>27</v>
      </c>
      <c r="B28" s="1" cm="1">
        <f t="array" ref="B28">INDEX([1]Nodes!$A:$A,MATCH(C28,[1]Nodes!$D:$D,0))</f>
        <v>15</v>
      </c>
      <c r="C28" s="2" t="s">
        <v>24</v>
      </c>
      <c r="D28" s="4">
        <f>_xlfn.XLOOKUP(E28,Nodes!$D:$D,Nodes!$A:$A)</f>
        <v>16</v>
      </c>
      <c r="E28" s="2" t="s">
        <v>25</v>
      </c>
      <c r="F28" s="1">
        <f t="shared" si="0"/>
        <v>38.0317079750438</v>
      </c>
      <c r="G28" s="3">
        <f t="shared" si="1"/>
        <v>0.996203862647698</v>
      </c>
      <c r="H28" s="1" t="s">
        <v>85</v>
      </c>
      <c r="I28">
        <f>_xlfn.XLOOKUP(B28,Nodes!$A:$A,Nodes!$B:$B)</f>
        <v>51.23</v>
      </c>
      <c r="J28">
        <f>_xlfn.XLOOKUP(B28,Nodes!$A:$A,Nodes!$C:$C)</f>
        <v>6.78</v>
      </c>
      <c r="K28">
        <f>_xlfn.XLOOKUP(D28,Nodes!$A:$A,Nodes!$B:$B)</f>
        <v>50.92</v>
      </c>
      <c r="L28">
        <f>_xlfn.XLOOKUP(D28,Nodes!$A:$A,Nodes!$C:$C)</f>
        <v>7.01</v>
      </c>
    </row>
    <row r="29" spans="1:12">
      <c r="A29">
        <v>28</v>
      </c>
      <c r="B29" s="1" cm="1">
        <f t="array" ref="B29">INDEX([1]Nodes!$A:$A,MATCH(C29,[1]Nodes!$D:$D,0))</f>
        <v>1</v>
      </c>
      <c r="C29" s="2" t="s">
        <v>8</v>
      </c>
      <c r="D29" s="4">
        <f>_xlfn.XLOOKUP(E29,Nodes!$D:$D,Nodes!$A:$A)</f>
        <v>17</v>
      </c>
      <c r="E29" s="2" t="s">
        <v>26</v>
      </c>
      <c r="F29" s="1">
        <f t="shared" si="0"/>
        <v>212.148735775317</v>
      </c>
      <c r="G29" s="3">
        <f t="shared" si="1"/>
        <v>0.979007540345481</v>
      </c>
      <c r="H29" s="1" t="s">
        <v>85</v>
      </c>
      <c r="I29">
        <f>_xlfn.XLOOKUP(B29,Nodes!$A:$A,Nodes!$B:$B)</f>
        <v>52.39</v>
      </c>
      <c r="J29">
        <f>_xlfn.XLOOKUP(B29,Nodes!$A:$A,Nodes!$C:$C)</f>
        <v>9.8</v>
      </c>
      <c r="K29">
        <f>_xlfn.XLOOKUP(D29,Nodes!$A:$A,Nodes!$B:$B)</f>
        <v>51.34</v>
      </c>
      <c r="L29">
        <f>_xlfn.XLOOKUP(D29,Nodes!$A:$A,Nodes!$C:$C)</f>
        <v>12.38</v>
      </c>
    </row>
    <row r="30" spans="1:12">
      <c r="A30">
        <v>29</v>
      </c>
      <c r="B30" s="1" cm="1">
        <f t="array" ref="B30">INDEX([1]Nodes!$A:$A,MATCH(C30,[1]Nodes!$D:$D,0))</f>
        <v>2</v>
      </c>
      <c r="C30" s="2" t="s">
        <v>11</v>
      </c>
      <c r="D30" s="4">
        <f>_xlfn.XLOOKUP(E30,Nodes!$D:$D,Nodes!$A:$A)</f>
        <v>17</v>
      </c>
      <c r="E30" s="2" t="s">
        <v>26</v>
      </c>
      <c r="F30" s="1">
        <f t="shared" si="0"/>
        <v>295.291454543076</v>
      </c>
      <c r="G30" s="3">
        <f t="shared" si="1"/>
        <v>0.970901146241355</v>
      </c>
      <c r="H30" s="1" t="s">
        <v>85</v>
      </c>
      <c r="I30">
        <f>_xlfn.XLOOKUP(B30,Nodes!$A:$A,Nodes!$B:$B)</f>
        <v>50.1</v>
      </c>
      <c r="J30">
        <f>_xlfn.XLOOKUP(B30,Nodes!$A:$A,Nodes!$C:$C)</f>
        <v>8.67</v>
      </c>
      <c r="K30">
        <f>_xlfn.XLOOKUP(D30,Nodes!$A:$A,Nodes!$B:$B)</f>
        <v>51.34</v>
      </c>
      <c r="L30">
        <f>_xlfn.XLOOKUP(D30,Nodes!$A:$A,Nodes!$C:$C)</f>
        <v>12.38</v>
      </c>
    </row>
    <row r="31" spans="1:12">
      <c r="A31">
        <v>30</v>
      </c>
      <c r="B31" s="1" cm="1">
        <f t="array" ref="B31">INDEX([1]Nodes!$A:$A,MATCH(C31,[1]Nodes!$D:$D,0))</f>
        <v>6</v>
      </c>
      <c r="C31" s="2" t="s">
        <v>15</v>
      </c>
      <c r="D31" s="4">
        <f>_xlfn.XLOOKUP(E31,Nodes!$D:$D,Nodes!$A:$A)</f>
        <v>17</v>
      </c>
      <c r="E31" s="2" t="s">
        <v>26</v>
      </c>
      <c r="F31" s="1">
        <f t="shared" si="0"/>
        <v>148.681260019104</v>
      </c>
      <c r="G31" s="3">
        <f t="shared" si="1"/>
        <v>0.985241126335835</v>
      </c>
      <c r="H31" s="1" t="s">
        <v>85</v>
      </c>
      <c r="I31">
        <f>_xlfn.XLOOKUP(B31,Nodes!$A:$A,Nodes!$B:$B)</f>
        <v>52.52</v>
      </c>
      <c r="J31">
        <f>_xlfn.XLOOKUP(B31,Nodes!$A:$A,Nodes!$C:$C)</f>
        <v>13.4</v>
      </c>
      <c r="K31">
        <f>_xlfn.XLOOKUP(D31,Nodes!$A:$A,Nodes!$B:$B)</f>
        <v>51.34</v>
      </c>
      <c r="L31">
        <f>_xlfn.XLOOKUP(D31,Nodes!$A:$A,Nodes!$C:$C)</f>
        <v>12.38</v>
      </c>
    </row>
    <row r="32" spans="1:12">
      <c r="A32">
        <v>31</v>
      </c>
      <c r="B32">
        <f>_xlfn.XLOOKUP(C32,Nodes!$D:$D,Nodes!$A:$A)</f>
        <v>18</v>
      </c>
      <c r="C32" s="5" t="s">
        <v>27</v>
      </c>
      <c r="D32" s="4">
        <f>_xlfn.XLOOKUP(E32,Nodes!$D:$D,Nodes!$A:$A)</f>
        <v>17</v>
      </c>
      <c r="E32" s="2" t="s">
        <v>26</v>
      </c>
      <c r="F32" s="1">
        <f t="shared" si="0"/>
        <v>99.9098517013424</v>
      </c>
      <c r="G32" s="3">
        <f t="shared" ref="G32:G40" si="2">(0.9999)^F32</f>
        <v>0.990058264304238</v>
      </c>
      <c r="H32" s="1" t="s">
        <v>85</v>
      </c>
      <c r="I32">
        <f>_xlfn.XLOOKUP(B32,Nodes!$A:$A,Nodes!$B:$B)</f>
        <v>51.0504</v>
      </c>
      <c r="J32">
        <f>_xlfn.XLOOKUP(B32,Nodes!$A:$A,Nodes!$C:$C)</f>
        <v>13.7373</v>
      </c>
      <c r="K32">
        <f>_xlfn.XLOOKUP(D32,Nodes!$A:$A,Nodes!$B:$B)</f>
        <v>51.34</v>
      </c>
      <c r="L32">
        <f>_xlfn.XLOOKUP(D32,Nodes!$A:$A,Nodes!$C:$C)</f>
        <v>12.38</v>
      </c>
    </row>
    <row r="33" spans="1:13">
      <c r="A33">
        <v>32</v>
      </c>
      <c r="B33">
        <f>_xlfn.XLOOKUP(C33,Nodes!$D:$D,Nodes!$A:$A)</f>
        <v>18</v>
      </c>
      <c r="C33" s="5" t="s">
        <v>27</v>
      </c>
      <c r="D33" s="4">
        <f>_xlfn.XLOOKUP(E33,Nodes!$D:$D,Nodes!$A:$A)</f>
        <v>6</v>
      </c>
      <c r="E33" s="2" t="s">
        <v>15</v>
      </c>
      <c r="F33" s="1">
        <f t="shared" si="0"/>
        <v>165.050437211476</v>
      </c>
      <c r="G33" s="3">
        <f t="shared" si="2"/>
        <v>0.983629606423683</v>
      </c>
      <c r="H33" s="1" t="s">
        <v>85</v>
      </c>
      <c r="I33">
        <f>_xlfn.XLOOKUP(B33,Nodes!$A:$A,Nodes!$B:$B)</f>
        <v>51.0504</v>
      </c>
      <c r="J33">
        <f>_xlfn.XLOOKUP(B33,Nodes!$A:$A,Nodes!$C:$C)</f>
        <v>13.7373</v>
      </c>
      <c r="K33">
        <f>_xlfn.XLOOKUP(D33,Nodes!$A:$A,Nodes!$B:$B)</f>
        <v>52.52</v>
      </c>
      <c r="L33">
        <f>_xlfn.XLOOKUP(D33,Nodes!$A:$A,Nodes!$C:$C)</f>
        <v>13.4</v>
      </c>
    </row>
    <row r="34" spans="1:13">
      <c r="A34">
        <v>33</v>
      </c>
      <c r="B34">
        <f>_xlfn.XLOOKUP(C34,Nodes!$D:$D,Nodes!$A:$A)</f>
        <v>18</v>
      </c>
      <c r="C34" s="5" t="s">
        <v>27</v>
      </c>
      <c r="D34" s="4">
        <f>_xlfn.XLOOKUP(E34,Nodes!$D:$D,Nodes!$A:$A)</f>
        <v>9</v>
      </c>
      <c r="E34" s="2" t="s">
        <v>18</v>
      </c>
      <c r="F34" s="1">
        <f t="shared" si="0"/>
        <v>259.519646067578</v>
      </c>
      <c r="G34" s="3">
        <f t="shared" si="2"/>
        <v>0.974380628862342</v>
      </c>
      <c r="H34" s="1" t="s">
        <v>85</v>
      </c>
      <c r="I34">
        <f>_xlfn.XLOOKUP(B34,Nodes!$A:$A,Nodes!$B:$B)</f>
        <v>51.0504</v>
      </c>
      <c r="J34">
        <f>_xlfn.XLOOKUP(B34,Nodes!$A:$A,Nodes!$C:$C)</f>
        <v>13.7373</v>
      </c>
      <c r="K34">
        <f>_xlfn.XLOOKUP(D34,Nodes!$A:$A,Nodes!$B:$B)</f>
        <v>49.45</v>
      </c>
      <c r="L34">
        <f>_xlfn.XLOOKUP(D34,Nodes!$A:$A,Nodes!$C:$C)</f>
        <v>11.08</v>
      </c>
    </row>
    <row r="35" spans="1:13">
      <c r="A35">
        <v>34</v>
      </c>
      <c r="B35">
        <f>_xlfn.XLOOKUP(C35,Nodes!$D:$D,Nodes!$A:$A)</f>
        <v>27</v>
      </c>
      <c r="C35" s="6" t="s">
        <v>37</v>
      </c>
      <c r="D35" s="7">
        <f>_xlfn.XLOOKUP(E35,Nodes!$D:$D,Nodes!$A:$A)</f>
        <v>24</v>
      </c>
      <c r="E35" s="6" t="s">
        <v>34</v>
      </c>
      <c r="F35" s="1">
        <f t="shared" si="0"/>
        <v>153.00473109524</v>
      </c>
      <c r="G35" s="3">
        <f t="shared" si="2"/>
        <v>0.984815230963389</v>
      </c>
      <c r="H35" s="1" t="s">
        <v>85</v>
      </c>
      <c r="I35">
        <f>_xlfn.XLOOKUP(B35,Nodes!$A:$A,Nodes!$B:$B)</f>
        <v>52.23</v>
      </c>
      <c r="J35">
        <f>_xlfn.XLOOKUP(B35,Nodes!$A:$A,Nodes!$C:$C)</f>
        <v>21.01</v>
      </c>
      <c r="K35">
        <f>_xlfn.XLOOKUP(D35,Nodes!$A:$A,Nodes!$B:$B)</f>
        <v>51.25</v>
      </c>
      <c r="L35">
        <f>_xlfn.XLOOKUP(D35,Nodes!$A:$A,Nodes!$C:$C)</f>
        <v>22.57</v>
      </c>
    </row>
    <row r="36" spans="1:13">
      <c r="A36">
        <v>35</v>
      </c>
      <c r="B36">
        <f>_xlfn.XLOOKUP(C36,Nodes!$D:$D,Nodes!$A:$A)</f>
        <v>27</v>
      </c>
      <c r="C36" s="6" t="s">
        <v>37</v>
      </c>
      <c r="D36" s="7">
        <f>_xlfn.XLOOKUP(E36,Nodes!$D:$D,Nodes!$A:$A)</f>
        <v>25</v>
      </c>
      <c r="E36" s="6" t="s">
        <v>35</v>
      </c>
      <c r="F36" s="1">
        <f t="shared" si="0"/>
        <v>275.335012018605</v>
      </c>
      <c r="G36" s="3">
        <f t="shared" si="2"/>
        <v>0.972840751252455</v>
      </c>
      <c r="H36" s="1" t="s">
        <v>85</v>
      </c>
      <c r="I36">
        <f>_xlfn.XLOOKUP(B36,Nodes!$A:$A,Nodes!$B:$B)</f>
        <v>52.23</v>
      </c>
      <c r="J36">
        <f>_xlfn.XLOOKUP(B36,Nodes!$A:$A,Nodes!$C:$C)</f>
        <v>21.01</v>
      </c>
      <c r="K36">
        <f>_xlfn.XLOOKUP(D36,Nodes!$A:$A,Nodes!$B:$B)</f>
        <v>52.42</v>
      </c>
      <c r="L36">
        <f>_xlfn.XLOOKUP(D36,Nodes!$A:$A,Nodes!$C:$C)</f>
        <v>16.97</v>
      </c>
    </row>
    <row r="37" spans="1:13">
      <c r="A37">
        <v>36</v>
      </c>
      <c r="B37">
        <f>_xlfn.XLOOKUP(C37,Nodes!$D:$D,Nodes!$A:$A)</f>
        <v>27</v>
      </c>
      <c r="C37" s="6" t="s">
        <v>37</v>
      </c>
      <c r="D37" s="7">
        <f>_xlfn.XLOOKUP(E37,Nodes!$D:$D,Nodes!$A:$A)</f>
        <v>20</v>
      </c>
      <c r="E37" s="6" t="s">
        <v>30</v>
      </c>
      <c r="F37" s="1">
        <f t="shared" si="0"/>
        <v>225.152458038155</v>
      </c>
      <c r="G37" s="3">
        <f t="shared" si="2"/>
        <v>0.977735229931971</v>
      </c>
      <c r="H37" s="1" t="s">
        <v>85</v>
      </c>
      <c r="I37">
        <f>_xlfn.XLOOKUP(B37,Nodes!$A:$A,Nodes!$B:$B)</f>
        <v>52.23</v>
      </c>
      <c r="J37">
        <f>_xlfn.XLOOKUP(B37,Nodes!$A:$A,Nodes!$C:$C)</f>
        <v>21.01</v>
      </c>
      <c r="K37">
        <f>_xlfn.XLOOKUP(D37,Nodes!$A:$A,Nodes!$B:$B)</f>
        <v>53.12</v>
      </c>
      <c r="L37">
        <f>_xlfn.XLOOKUP(D37,Nodes!$A:$A,Nodes!$C:$C)</f>
        <v>18.01</v>
      </c>
    </row>
    <row r="38" spans="1:13">
      <c r="A38">
        <v>37</v>
      </c>
      <c r="B38">
        <f>_xlfn.XLOOKUP(C38,Nodes!$D:$D,Nodes!$A:$A)</f>
        <v>27</v>
      </c>
      <c r="C38" s="6" t="s">
        <v>37</v>
      </c>
      <c r="D38" s="7">
        <f>_xlfn.XLOOKUP(E38,Nodes!$D:$D,Nodes!$A:$A)</f>
        <v>19</v>
      </c>
      <c r="E38" s="6" t="s">
        <v>28</v>
      </c>
      <c r="F38" s="1">
        <f t="shared" si="0"/>
        <v>175.565975937744</v>
      </c>
      <c r="G38" s="3">
        <f t="shared" si="2"/>
        <v>0.982595758877045</v>
      </c>
      <c r="H38" s="1" t="s">
        <v>85</v>
      </c>
      <c r="I38">
        <f>_xlfn.XLOOKUP(B38,Nodes!$A:$A,Nodes!$B:$B)</f>
        <v>52.23</v>
      </c>
      <c r="J38">
        <f>_xlfn.XLOOKUP(B38,Nodes!$A:$A,Nodes!$C:$C)</f>
        <v>21.01</v>
      </c>
      <c r="K38">
        <f>_xlfn.XLOOKUP(D38,Nodes!$A:$A,Nodes!$B:$B)</f>
        <v>53.13</v>
      </c>
      <c r="L38">
        <f>_xlfn.XLOOKUP(D38,Nodes!$A:$A,Nodes!$C:$C)</f>
        <v>23.15</v>
      </c>
      <c r="M38" s="8"/>
    </row>
    <row r="39" spans="1:13">
      <c r="A39">
        <v>38</v>
      </c>
      <c r="B39">
        <f>_xlfn.XLOOKUP(C39,Nodes!$D:$D,Nodes!$A:$A)</f>
        <v>27</v>
      </c>
      <c r="C39" s="6" t="s">
        <v>37</v>
      </c>
      <c r="D39" s="7">
        <f>_xlfn.XLOOKUP(E39,Nodes!$D:$D,Nodes!$A:$A)</f>
        <v>23</v>
      </c>
      <c r="E39" s="6" t="s">
        <v>33</v>
      </c>
      <c r="F39" s="1">
        <f t="shared" si="0"/>
        <v>118.184356107092</v>
      </c>
      <c r="G39" s="3">
        <f t="shared" si="2"/>
        <v>0.988250543768362</v>
      </c>
      <c r="H39" s="1" t="s">
        <v>85</v>
      </c>
      <c r="I39">
        <f>_xlfn.XLOOKUP(B39,Nodes!$A:$A,Nodes!$B:$B)</f>
        <v>52.23</v>
      </c>
      <c r="J39">
        <f>_xlfn.XLOOKUP(B39,Nodes!$A:$A,Nodes!$C:$C)</f>
        <v>21.01</v>
      </c>
      <c r="K39">
        <f>_xlfn.XLOOKUP(D39,Nodes!$A:$A,Nodes!$B:$B)</f>
        <v>51.75</v>
      </c>
      <c r="L39">
        <f>_xlfn.XLOOKUP(D39,Nodes!$A:$A,Nodes!$C:$C)</f>
        <v>19.47</v>
      </c>
      <c r="M39" s="8"/>
    </row>
    <row r="40" spans="1:13">
      <c r="A40">
        <v>39</v>
      </c>
      <c r="B40">
        <f>_xlfn.XLOOKUP(C40,Nodes!$D:$D,Nodes!$A:$A)</f>
        <v>27</v>
      </c>
      <c r="C40" s="6" t="s">
        <v>37</v>
      </c>
      <c r="D40" s="7">
        <f>_xlfn.XLOOKUP(E40,Nodes!$D:$D,Nodes!$A:$A)</f>
        <v>21</v>
      </c>
      <c r="E40" s="6" t="s">
        <v>31</v>
      </c>
      <c r="F40" s="1">
        <f t="shared" si="0"/>
        <v>283.119698875412</v>
      </c>
      <c r="G40" s="3">
        <f t="shared" si="2"/>
        <v>0.972083682052927</v>
      </c>
      <c r="H40" s="1" t="s">
        <v>85</v>
      </c>
      <c r="I40">
        <f>_xlfn.XLOOKUP(B40,Nodes!$A:$A,Nodes!$B:$B)</f>
        <v>52.23</v>
      </c>
      <c r="J40">
        <f>_xlfn.XLOOKUP(B40,Nodes!$A:$A,Nodes!$C:$C)</f>
        <v>21.01</v>
      </c>
      <c r="K40">
        <f>_xlfn.XLOOKUP(D40,Nodes!$A:$A,Nodes!$B:$B)</f>
        <v>54.35</v>
      </c>
      <c r="L40">
        <f>_xlfn.XLOOKUP(D40,Nodes!$A:$A,Nodes!$C:$C)</f>
        <v>18.65</v>
      </c>
      <c r="M40" s="8"/>
    </row>
    <row r="41" spans="1:13">
      <c r="A41">
        <v>40</v>
      </c>
      <c r="B41">
        <f>_xlfn.XLOOKUP(C41,Nodes!$D:$D,Nodes!$A:$A)</f>
        <v>27</v>
      </c>
      <c r="C41" s="6" t="s">
        <v>37</v>
      </c>
      <c r="D41" s="7">
        <f>_xlfn.XLOOKUP(E41,Nodes!$D:$D,Nodes!$A:$A)</f>
        <v>22</v>
      </c>
      <c r="E41" s="6" t="s">
        <v>32</v>
      </c>
      <c r="F41" s="1">
        <f t="shared" si="0"/>
        <v>250.856860319348</v>
      </c>
      <c r="G41" s="3">
        <f t="shared" ref="G41:G72" si="3">(0.9999)^F41</f>
        <v>0.975225121880493</v>
      </c>
      <c r="H41" s="1"/>
      <c r="I41">
        <f>_xlfn.XLOOKUP(B41,Nodes!$A:$A,Nodes!$B:$B)</f>
        <v>52.23</v>
      </c>
      <c r="J41">
        <f>_xlfn.XLOOKUP(B41,Nodes!$A:$A,Nodes!$C:$C)</f>
        <v>21.01</v>
      </c>
      <c r="K41">
        <f>_xlfn.XLOOKUP(D41,Nodes!$A:$A,Nodes!$B:$B)</f>
        <v>50.08</v>
      </c>
      <c r="L41">
        <f>_xlfn.XLOOKUP(D41,Nodes!$A:$A,Nodes!$C:$C)</f>
        <v>19.92</v>
      </c>
      <c r="M41" s="8"/>
    </row>
    <row r="42" spans="1:13">
      <c r="A42">
        <v>41</v>
      </c>
      <c r="B42">
        <f>_xlfn.XLOOKUP(C42,Nodes!$D:$D,Nodes!$A:$A)</f>
        <v>26</v>
      </c>
      <c r="C42" s="6" t="s">
        <v>36</v>
      </c>
      <c r="D42" s="7">
        <f>_xlfn.XLOOKUP(E42,Nodes!$D:$D,Nodes!$A:$A)</f>
        <v>28</v>
      </c>
      <c r="E42" s="6" t="s">
        <v>38</v>
      </c>
      <c r="F42" s="1">
        <f t="shared" si="0"/>
        <v>309.162685459875</v>
      </c>
      <c r="G42" s="3">
        <f t="shared" si="3"/>
        <v>0.969555253221351</v>
      </c>
      <c r="H42" s="1"/>
      <c r="I42">
        <f>_xlfn.XLOOKUP(B42,Nodes!$A:$A,Nodes!$B:$B)</f>
        <v>53.43</v>
      </c>
      <c r="J42">
        <f>_xlfn.XLOOKUP(B42,Nodes!$A:$A,Nodes!$C:$C)</f>
        <v>14.55</v>
      </c>
      <c r="K42">
        <f>_xlfn.XLOOKUP(D42,Nodes!$A:$A,Nodes!$B:$B)</f>
        <v>51.1</v>
      </c>
      <c r="L42">
        <f>_xlfn.XLOOKUP(D42,Nodes!$A:$A,Nodes!$C:$C)</f>
        <v>17.03</v>
      </c>
      <c r="M42" s="8"/>
    </row>
    <row r="43" spans="1:13">
      <c r="A43">
        <v>42</v>
      </c>
      <c r="B43">
        <f>_xlfn.XLOOKUP(C43,Nodes!$D:$D,Nodes!$A:$A)</f>
        <v>25</v>
      </c>
      <c r="C43" s="6" t="s">
        <v>35</v>
      </c>
      <c r="D43" s="7">
        <f>_xlfn.XLOOKUP(E43,Nodes!$D:$D,Nodes!$A:$A)</f>
        <v>28</v>
      </c>
      <c r="E43" s="6" t="s">
        <v>38</v>
      </c>
      <c r="F43" s="1">
        <f t="shared" si="0"/>
        <v>146.835367096115</v>
      </c>
      <c r="G43" s="3">
        <f t="shared" si="3"/>
        <v>0.985423017179818</v>
      </c>
      <c r="H43" s="1"/>
      <c r="I43">
        <f>_xlfn.XLOOKUP(B43,Nodes!$A:$A,Nodes!$B:$B)</f>
        <v>52.42</v>
      </c>
      <c r="J43">
        <f>_xlfn.XLOOKUP(B43,Nodes!$A:$A,Nodes!$C:$C)</f>
        <v>16.97</v>
      </c>
      <c r="K43">
        <f>_xlfn.XLOOKUP(D43,Nodes!$A:$A,Nodes!$B:$B)</f>
        <v>51.1</v>
      </c>
      <c r="L43">
        <f>_xlfn.XLOOKUP(D43,Nodes!$A:$A,Nodes!$C:$C)</f>
        <v>17.03</v>
      </c>
      <c r="M43" s="8"/>
    </row>
    <row r="44" spans="1:13">
      <c r="A44">
        <v>43</v>
      </c>
      <c r="B44">
        <f>_xlfn.XLOOKUP(C44,Nodes!$D:$D,Nodes!$A:$A)</f>
        <v>26</v>
      </c>
      <c r="C44" s="6" t="s">
        <v>36</v>
      </c>
      <c r="D44" s="7">
        <f>_xlfn.XLOOKUP(E44,Nodes!$D:$D,Nodes!$A:$A)</f>
        <v>20</v>
      </c>
      <c r="E44" s="6" t="s">
        <v>30</v>
      </c>
      <c r="F44" s="1">
        <f t="shared" si="0"/>
        <v>232.605610720941</v>
      </c>
      <c r="G44" s="3">
        <f t="shared" si="3"/>
        <v>0.977006744021426</v>
      </c>
      <c r="H44" s="1" t="s">
        <v>85</v>
      </c>
      <c r="I44">
        <f>_xlfn.XLOOKUP(B44,Nodes!$A:$A,Nodes!$B:$B)</f>
        <v>53.43</v>
      </c>
      <c r="J44">
        <f>_xlfn.XLOOKUP(B44,Nodes!$A:$A,Nodes!$C:$C)</f>
        <v>14.55</v>
      </c>
      <c r="K44">
        <f>_xlfn.XLOOKUP(D44,Nodes!$A:$A,Nodes!$B:$B)</f>
        <v>53.12</v>
      </c>
      <c r="L44">
        <f>_xlfn.XLOOKUP(D44,Nodes!$A:$A,Nodes!$C:$C)</f>
        <v>18.01</v>
      </c>
      <c r="M44" s="8"/>
    </row>
    <row r="45" spans="1:13">
      <c r="A45">
        <v>44</v>
      </c>
      <c r="B45">
        <f>_xlfn.XLOOKUP(C45,Nodes!$D:$D,Nodes!$A:$A)</f>
        <v>24</v>
      </c>
      <c r="C45" s="6" t="s">
        <v>34</v>
      </c>
      <c r="D45" s="7">
        <f>_xlfn.XLOOKUP(E45,Nodes!$D:$D,Nodes!$A:$A)</f>
        <v>23</v>
      </c>
      <c r="E45" s="6" t="s">
        <v>33</v>
      </c>
      <c r="F45" s="1">
        <f t="shared" si="0"/>
        <v>221.649676830169</v>
      </c>
      <c r="G45" s="3">
        <f t="shared" si="3"/>
        <v>0.978077786310554</v>
      </c>
      <c r="H45" s="1" t="s">
        <v>85</v>
      </c>
      <c r="I45">
        <f>_xlfn.XLOOKUP(B45,Nodes!$A:$A,Nodes!$B:$B)</f>
        <v>51.25</v>
      </c>
      <c r="J45">
        <f>_xlfn.XLOOKUP(B45,Nodes!$A:$A,Nodes!$C:$C)</f>
        <v>22.57</v>
      </c>
      <c r="K45">
        <f>_xlfn.XLOOKUP(D45,Nodes!$A:$A,Nodes!$B:$B)</f>
        <v>51.75</v>
      </c>
      <c r="L45">
        <f>_xlfn.XLOOKUP(D45,Nodes!$A:$A,Nodes!$C:$C)</f>
        <v>19.47</v>
      </c>
      <c r="M45" s="8"/>
    </row>
    <row r="46" spans="1:13">
      <c r="A46">
        <v>45</v>
      </c>
      <c r="B46">
        <f>_xlfn.XLOOKUP(C46,Nodes!$D:$D,Nodes!$A:$A)</f>
        <v>24</v>
      </c>
      <c r="C46" s="6" t="s">
        <v>34</v>
      </c>
      <c r="D46" s="7">
        <f>_xlfn.XLOOKUP(E46,Nodes!$D:$D,Nodes!$A:$A)</f>
        <v>22</v>
      </c>
      <c r="E46" s="6" t="s">
        <v>32</v>
      </c>
      <c r="F46" s="1">
        <f t="shared" ref="F45:F55" si="4">6371*2*ASIN(SQRT(SIN(RADIANS((K46-I46)/2))^2+COS(RADIANS(I46))*COS(RADIANS(K46))*SIN(RADIANS((L46-J46)/2))^2))</f>
        <v>227.596606874528</v>
      </c>
      <c r="G46" s="3">
        <f t="shared" si="3"/>
        <v>0.977496274144895</v>
      </c>
      <c r="H46" s="1" t="s">
        <v>85</v>
      </c>
      <c r="I46">
        <f>_xlfn.XLOOKUP(B46,Nodes!$A:$A,Nodes!$B:$B)</f>
        <v>51.25</v>
      </c>
      <c r="J46">
        <f>_xlfn.XLOOKUP(B46,Nodes!$A:$A,Nodes!$C:$C)</f>
        <v>22.57</v>
      </c>
      <c r="K46">
        <f>_xlfn.XLOOKUP(D46,Nodes!$A:$A,Nodes!$B:$B)</f>
        <v>50.08</v>
      </c>
      <c r="L46">
        <f>_xlfn.XLOOKUP(D46,Nodes!$A:$A,Nodes!$C:$C)</f>
        <v>19.92</v>
      </c>
      <c r="M46" s="8"/>
    </row>
    <row r="47" spans="1:13">
      <c r="A47">
        <v>46</v>
      </c>
      <c r="B47">
        <f>_xlfn.XLOOKUP(C47,Nodes!$D:$D,Nodes!$A:$A)</f>
        <v>22</v>
      </c>
      <c r="C47" s="6" t="s">
        <v>32</v>
      </c>
      <c r="D47" s="7">
        <f>_xlfn.XLOOKUP(E47,Nodes!$D:$D,Nodes!$A:$A)</f>
        <v>23</v>
      </c>
      <c r="E47" s="6" t="s">
        <v>33</v>
      </c>
      <c r="F47" s="1">
        <f t="shared" si="4"/>
        <v>188.355180650717</v>
      </c>
      <c r="G47" s="3">
        <f t="shared" si="3"/>
        <v>0.981339837531848</v>
      </c>
      <c r="H47" s="1" t="s">
        <v>85</v>
      </c>
      <c r="I47">
        <f>_xlfn.XLOOKUP(B47,Nodes!$A:$A,Nodes!$B:$B)</f>
        <v>50.08</v>
      </c>
      <c r="J47">
        <f>_xlfn.XLOOKUP(B47,Nodes!$A:$A,Nodes!$C:$C)</f>
        <v>19.92</v>
      </c>
      <c r="K47">
        <f>_xlfn.XLOOKUP(D47,Nodes!$A:$A,Nodes!$B:$B)</f>
        <v>51.75</v>
      </c>
      <c r="L47">
        <f>_xlfn.XLOOKUP(D47,Nodes!$A:$A,Nodes!$C:$C)</f>
        <v>19.47</v>
      </c>
      <c r="M47" s="8"/>
    </row>
    <row r="48" spans="1:13">
      <c r="A48">
        <v>47</v>
      </c>
      <c r="B48">
        <f>_xlfn.XLOOKUP(C48,Nodes!$D:$D,Nodes!$A:$A)</f>
        <v>22</v>
      </c>
      <c r="C48" s="6" t="s">
        <v>32</v>
      </c>
      <c r="D48" s="7">
        <f>_xlfn.XLOOKUP(E48,Nodes!$D:$D,Nodes!$A:$A)</f>
        <v>28</v>
      </c>
      <c r="E48" s="6" t="s">
        <v>38</v>
      </c>
      <c r="F48" s="1">
        <f t="shared" si="4"/>
        <v>233.399121779686</v>
      </c>
      <c r="G48" s="3">
        <f t="shared" si="3"/>
        <v>0.97692921665539</v>
      </c>
      <c r="H48" s="1" t="s">
        <v>85</v>
      </c>
      <c r="I48">
        <f>_xlfn.XLOOKUP(B48,Nodes!$A:$A,Nodes!$B:$B)</f>
        <v>50.08</v>
      </c>
      <c r="J48">
        <f>_xlfn.XLOOKUP(B48,Nodes!$A:$A,Nodes!$C:$C)</f>
        <v>19.92</v>
      </c>
      <c r="K48">
        <f>_xlfn.XLOOKUP(D48,Nodes!$A:$A,Nodes!$B:$B)</f>
        <v>51.1</v>
      </c>
      <c r="L48">
        <f>_xlfn.XLOOKUP(D48,Nodes!$A:$A,Nodes!$C:$C)</f>
        <v>17.03</v>
      </c>
      <c r="M48" s="8"/>
    </row>
    <row r="49" spans="1:13">
      <c r="A49">
        <v>48</v>
      </c>
      <c r="B49">
        <f>_xlfn.XLOOKUP(C49,Nodes!$D:$D,Nodes!$A:$A)</f>
        <v>28</v>
      </c>
      <c r="C49" s="6" t="s">
        <v>38</v>
      </c>
      <c r="D49" s="7">
        <f>_xlfn.XLOOKUP(E49,Nodes!$D:$D,Nodes!$A:$A)</f>
        <v>23</v>
      </c>
      <c r="E49" s="6" t="s">
        <v>33</v>
      </c>
      <c r="F49" s="1">
        <f t="shared" si="4"/>
        <v>183.956397027111</v>
      </c>
      <c r="G49" s="3">
        <f t="shared" si="3"/>
        <v>0.981771624242049</v>
      </c>
      <c r="H49" s="1" t="s">
        <v>85</v>
      </c>
      <c r="I49">
        <f>_xlfn.XLOOKUP(B49,Nodes!$A:$A,Nodes!$B:$B)</f>
        <v>51.1</v>
      </c>
      <c r="J49">
        <f>_xlfn.XLOOKUP(B49,Nodes!$A:$A,Nodes!$C:$C)</f>
        <v>17.03</v>
      </c>
      <c r="K49">
        <f>_xlfn.XLOOKUP(D49,Nodes!$A:$A,Nodes!$B:$B)</f>
        <v>51.75</v>
      </c>
      <c r="L49">
        <f>_xlfn.XLOOKUP(D49,Nodes!$A:$A,Nodes!$C:$C)</f>
        <v>19.47</v>
      </c>
      <c r="M49" s="8"/>
    </row>
    <row r="50" spans="1:13">
      <c r="A50">
        <v>49</v>
      </c>
      <c r="B50">
        <f>_xlfn.XLOOKUP(C50,Nodes!$D:$D,Nodes!$A:$A)</f>
        <v>23</v>
      </c>
      <c r="C50" s="6" t="s">
        <v>33</v>
      </c>
      <c r="D50" s="7">
        <f>_xlfn.XLOOKUP(E50,Nodes!$D:$D,Nodes!$A:$A)</f>
        <v>25</v>
      </c>
      <c r="E50" s="6" t="s">
        <v>35</v>
      </c>
      <c r="F50" s="1">
        <f t="shared" si="4"/>
        <v>186.347166809937</v>
      </c>
      <c r="G50" s="3">
        <f t="shared" si="3"/>
        <v>0.981536921570553</v>
      </c>
      <c r="H50" s="1" t="s">
        <v>85</v>
      </c>
      <c r="I50">
        <f>_xlfn.XLOOKUP(B50,Nodes!$A:$A,Nodes!$B:$B)</f>
        <v>51.75</v>
      </c>
      <c r="J50">
        <f>_xlfn.XLOOKUP(B50,Nodes!$A:$A,Nodes!$C:$C)</f>
        <v>19.47</v>
      </c>
      <c r="K50">
        <f>_xlfn.XLOOKUP(D50,Nodes!$A:$A,Nodes!$B:$B)</f>
        <v>52.42</v>
      </c>
      <c r="L50">
        <f>_xlfn.XLOOKUP(D50,Nodes!$A:$A,Nodes!$C:$C)</f>
        <v>16.97</v>
      </c>
      <c r="M50" s="8"/>
    </row>
    <row r="51" spans="1:13">
      <c r="A51">
        <v>50</v>
      </c>
      <c r="B51">
        <f>_xlfn.XLOOKUP(C51,Nodes!$D:$D,Nodes!$A:$A)</f>
        <v>25</v>
      </c>
      <c r="C51" s="6" t="s">
        <v>35</v>
      </c>
      <c r="D51" s="7">
        <f>_xlfn.XLOOKUP(E51,Nodes!$D:$D,Nodes!$A:$A)</f>
        <v>26</v>
      </c>
      <c r="E51" s="6" t="s">
        <v>36</v>
      </c>
      <c r="F51" s="1">
        <f t="shared" si="4"/>
        <v>197.2888924498</v>
      </c>
      <c r="G51" s="3">
        <f t="shared" si="3"/>
        <v>0.98046348449748</v>
      </c>
      <c r="H51" s="1" t="s">
        <v>85</v>
      </c>
      <c r="I51">
        <f>_xlfn.XLOOKUP(B51,Nodes!$A:$A,Nodes!$B:$B)</f>
        <v>52.42</v>
      </c>
      <c r="J51">
        <f>_xlfn.XLOOKUP(B51,Nodes!$A:$A,Nodes!$C:$C)</f>
        <v>16.97</v>
      </c>
      <c r="K51">
        <f>_xlfn.XLOOKUP(D51,Nodes!$A:$A,Nodes!$B:$B)</f>
        <v>53.43</v>
      </c>
      <c r="L51">
        <f>_xlfn.XLOOKUP(D51,Nodes!$A:$A,Nodes!$C:$C)</f>
        <v>14.55</v>
      </c>
      <c r="M51" s="8"/>
    </row>
    <row r="52" spans="1:13">
      <c r="A52">
        <v>51</v>
      </c>
      <c r="B52">
        <f>_xlfn.XLOOKUP(C52,Nodes!$D:$D,Nodes!$A:$A)</f>
        <v>25</v>
      </c>
      <c r="C52" s="6" t="s">
        <v>35</v>
      </c>
      <c r="D52" s="7">
        <f>_xlfn.XLOOKUP(E52,Nodes!$D:$D,Nodes!$A:$A)</f>
        <v>20</v>
      </c>
      <c r="E52" s="6" t="s">
        <v>30</v>
      </c>
      <c r="F52" s="1">
        <f t="shared" si="4"/>
        <v>104.657779049383</v>
      </c>
      <c r="G52" s="3">
        <f t="shared" si="3"/>
        <v>0.989588279915119</v>
      </c>
      <c r="H52" s="1" t="s">
        <v>85</v>
      </c>
      <c r="I52">
        <f>_xlfn.XLOOKUP(B52,Nodes!$A:$A,Nodes!$B:$B)</f>
        <v>52.42</v>
      </c>
      <c r="J52">
        <f>_xlfn.XLOOKUP(B52,Nodes!$A:$A,Nodes!$C:$C)</f>
        <v>16.97</v>
      </c>
      <c r="K52">
        <f>_xlfn.XLOOKUP(D52,Nodes!$A:$A,Nodes!$B:$B)</f>
        <v>53.12</v>
      </c>
      <c r="L52">
        <f>_xlfn.XLOOKUP(D52,Nodes!$A:$A,Nodes!$C:$C)</f>
        <v>18.01</v>
      </c>
      <c r="M52" s="8"/>
    </row>
    <row r="53" spans="1:13">
      <c r="A53">
        <v>52</v>
      </c>
      <c r="B53">
        <f>_xlfn.XLOOKUP(C53,Nodes!$D:$D,Nodes!$A:$A)</f>
        <v>20</v>
      </c>
      <c r="C53" s="6" t="s">
        <v>30</v>
      </c>
      <c r="D53" s="7">
        <f>_xlfn.XLOOKUP(E53,Nodes!$D:$D,Nodes!$A:$A)</f>
        <v>21</v>
      </c>
      <c r="E53" s="6" t="s">
        <v>31</v>
      </c>
      <c r="F53" s="1">
        <f t="shared" si="4"/>
        <v>143.099730637119</v>
      </c>
      <c r="G53" s="3">
        <f t="shared" si="3"/>
        <v>0.985791222575238</v>
      </c>
      <c r="H53" s="1" t="s">
        <v>85</v>
      </c>
      <c r="I53">
        <f>_xlfn.XLOOKUP(B53,Nodes!$A:$A,Nodes!$B:$B)</f>
        <v>53.12</v>
      </c>
      <c r="J53">
        <f>_xlfn.XLOOKUP(B53,Nodes!$A:$A,Nodes!$C:$C)</f>
        <v>18.01</v>
      </c>
      <c r="K53">
        <f>_xlfn.XLOOKUP(D53,Nodes!$A:$A,Nodes!$B:$B)</f>
        <v>54.35</v>
      </c>
      <c r="L53">
        <f>_xlfn.XLOOKUP(D53,Nodes!$A:$A,Nodes!$C:$C)</f>
        <v>18.65</v>
      </c>
    </row>
    <row r="54" spans="1:13">
      <c r="A54">
        <v>53</v>
      </c>
      <c r="B54">
        <f>_xlfn.XLOOKUP(C54,Nodes!$D:$D,Nodes!$A:$A)</f>
        <v>26</v>
      </c>
      <c r="C54" s="6" t="s">
        <v>36</v>
      </c>
      <c r="D54" s="7">
        <f>_xlfn.XLOOKUP(E54,Nodes!$D:$D,Nodes!$A:$A)</f>
        <v>21</v>
      </c>
      <c r="E54" s="6" t="s">
        <v>31</v>
      </c>
      <c r="F54" s="1">
        <f t="shared" si="4"/>
        <v>287.441915048017</v>
      </c>
      <c r="G54" s="3">
        <f t="shared" si="3"/>
        <v>0.971663596258739</v>
      </c>
      <c r="H54" s="1" t="s">
        <v>85</v>
      </c>
      <c r="I54">
        <f>_xlfn.XLOOKUP(B54,Nodes!$A:$A,Nodes!$B:$B)</f>
        <v>53.43</v>
      </c>
      <c r="J54">
        <f>_xlfn.XLOOKUP(B54,Nodes!$A:$A,Nodes!$C:$C)</f>
        <v>14.55</v>
      </c>
      <c r="K54">
        <f>_xlfn.XLOOKUP(D54,Nodes!$A:$A,Nodes!$B:$B)</f>
        <v>54.35</v>
      </c>
      <c r="L54">
        <f>_xlfn.XLOOKUP(D54,Nodes!$A:$A,Nodes!$C:$C)</f>
        <v>18.65</v>
      </c>
    </row>
    <row r="55" spans="1:13">
      <c r="A55">
        <v>54</v>
      </c>
      <c r="B55">
        <f>_xlfn.XLOOKUP(C55,Nodes!$D:$D,Nodes!$A:$A)</f>
        <v>21</v>
      </c>
      <c r="C55" s="6" t="s">
        <v>31</v>
      </c>
      <c r="D55" s="7">
        <f>_xlfn.XLOOKUP(E55,Nodes!$D:$D,Nodes!$A:$A)</f>
        <v>19</v>
      </c>
      <c r="E55" s="6" t="s">
        <v>28</v>
      </c>
      <c r="F55" s="1">
        <f t="shared" si="4"/>
        <v>325.480241872874</v>
      </c>
      <c r="G55" s="3">
        <f t="shared" si="3"/>
        <v>0.967974387067152</v>
      </c>
      <c r="H55" s="1" t="s">
        <v>85</v>
      </c>
      <c r="I55">
        <f>_xlfn.XLOOKUP(B55,Nodes!$A:$A,Nodes!$B:$B)</f>
        <v>54.35</v>
      </c>
      <c r="J55">
        <f>_xlfn.XLOOKUP(B55,Nodes!$A:$A,Nodes!$C:$C)</f>
        <v>18.65</v>
      </c>
      <c r="K55">
        <f>_xlfn.XLOOKUP(D55,Nodes!$A:$A,Nodes!$B:$B)</f>
        <v>53.13</v>
      </c>
      <c r="L55">
        <f>_xlfn.XLOOKUP(D55,Nodes!$A:$A,Nodes!$C:$C)</f>
        <v>23.15</v>
      </c>
    </row>
    <row r="56" spans="1:13">
      <c r="A56">
        <v>55</v>
      </c>
      <c r="B56">
        <f>_xlfn.XLOOKUP(C56,Nodes!$D:$D,Nodes!$A:$A)</f>
        <v>37</v>
      </c>
      <c r="C56" s="9" t="s">
        <v>48</v>
      </c>
      <c r="D56" s="9">
        <f>_xlfn.XLOOKUP(E56,Nodes!$D:$D,Nodes!$A:$A)</f>
        <v>33</v>
      </c>
      <c r="E56" s="9" t="s">
        <v>44</v>
      </c>
      <c r="F56" s="1">
        <f t="shared" ref="F56:F75" si="5">6371*2*ASIN(SQRT(SIN(RADIANS((K56-I56)/2))^2+COS(RADIANS(I56))*COS(RADIANS(K56))*SIN(RADIANS((L56-J56)/2))^2))</f>
        <v>88.1602657411752</v>
      </c>
      <c r="G56" s="3">
        <f t="shared" si="3"/>
        <v>0.991222283677743</v>
      </c>
      <c r="H56" s="1" t="s">
        <v>85</v>
      </c>
      <c r="I56">
        <f>_xlfn.XLOOKUP(B56,Nodes!$A:$A,Nodes!$B:$B)</f>
        <v>50.09</v>
      </c>
      <c r="J56">
        <f>_xlfn.XLOOKUP(B56,Nodes!$A:$A,Nodes!$C:$C)</f>
        <v>14.42</v>
      </c>
      <c r="K56">
        <f>_xlfn.XLOOKUP(D56,Nodes!$A:$A,Nodes!$B:$B)</f>
        <v>50.77</v>
      </c>
      <c r="L56">
        <f>_xlfn.XLOOKUP(D56,Nodes!$A:$A,Nodes!$C:$C)</f>
        <v>15.06</v>
      </c>
    </row>
    <row r="57" spans="1:13">
      <c r="A57">
        <v>56</v>
      </c>
      <c r="B57">
        <f>_xlfn.XLOOKUP(C57,Nodes!$D:$D,Nodes!$A:$A)</f>
        <v>37</v>
      </c>
      <c r="C57" s="9" t="s">
        <v>48</v>
      </c>
      <c r="D57" s="9">
        <f>_xlfn.XLOOKUP(E57,Nodes!$D:$D,Nodes!$A:$A)</f>
        <v>38</v>
      </c>
      <c r="E57" s="9" t="s">
        <v>49</v>
      </c>
      <c r="F57" s="1">
        <f t="shared" si="5"/>
        <v>69.1523351881763</v>
      </c>
      <c r="G57" s="3">
        <f t="shared" si="3"/>
        <v>0.993108278286974</v>
      </c>
      <c r="H57" s="1" t="s">
        <v>85</v>
      </c>
      <c r="I57">
        <f>_xlfn.XLOOKUP(B57,Nodes!$A:$A,Nodes!$B:$B)</f>
        <v>50.09</v>
      </c>
      <c r="J57">
        <f>_xlfn.XLOOKUP(B57,Nodes!$A:$A,Nodes!$C:$C)</f>
        <v>14.42</v>
      </c>
      <c r="K57">
        <f>_xlfn.XLOOKUP(D57,Nodes!$A:$A,Nodes!$B:$B)</f>
        <v>50.66</v>
      </c>
      <c r="L57">
        <f>_xlfn.XLOOKUP(D57,Nodes!$A:$A,Nodes!$C:$C)</f>
        <v>14.03</v>
      </c>
    </row>
    <row r="58" spans="1:13">
      <c r="A58">
        <v>57</v>
      </c>
      <c r="B58">
        <f>_xlfn.XLOOKUP(C58,Nodes!$D:$D,Nodes!$A:$A)</f>
        <v>37</v>
      </c>
      <c r="C58" s="9" t="s">
        <v>48</v>
      </c>
      <c r="D58" s="9">
        <f>_xlfn.XLOOKUP(E58,Nodes!$D:$D,Nodes!$A:$A)</f>
        <v>32</v>
      </c>
      <c r="E58" s="9" t="s">
        <v>43</v>
      </c>
      <c r="F58" s="1">
        <f t="shared" si="5"/>
        <v>111.506571496013</v>
      </c>
      <c r="G58" s="3">
        <f t="shared" si="3"/>
        <v>0.98891072960992</v>
      </c>
      <c r="H58" s="1" t="s">
        <v>85</v>
      </c>
      <c r="I58">
        <f>_xlfn.XLOOKUP(B58,Nodes!$A:$A,Nodes!$B:$B)</f>
        <v>50.09</v>
      </c>
      <c r="J58">
        <f>_xlfn.XLOOKUP(B58,Nodes!$A:$A,Nodes!$C:$C)</f>
        <v>14.42</v>
      </c>
      <c r="K58">
        <f>_xlfn.XLOOKUP(D58,Nodes!$A:$A,Nodes!$B:$B)</f>
        <v>50.23</v>
      </c>
      <c r="L58">
        <f>_xlfn.XLOOKUP(D58,Nodes!$A:$A,Nodes!$C:$C)</f>
        <v>12.87</v>
      </c>
    </row>
    <row r="59" spans="1:13">
      <c r="A59">
        <v>58</v>
      </c>
      <c r="B59">
        <f>_xlfn.XLOOKUP(C59,Nodes!$D:$D,Nodes!$A:$A)</f>
        <v>37</v>
      </c>
      <c r="C59" s="9" t="s">
        <v>48</v>
      </c>
      <c r="D59" s="9">
        <f>_xlfn.XLOOKUP(E59,Nodes!$D:$D,Nodes!$A:$A)</f>
        <v>36</v>
      </c>
      <c r="E59" s="9" t="s">
        <v>47</v>
      </c>
      <c r="F59" s="1">
        <f t="shared" si="5"/>
        <v>83.5046941889119</v>
      </c>
      <c r="G59" s="3">
        <f t="shared" si="3"/>
        <v>0.991683884827292</v>
      </c>
      <c r="H59" s="1" t="s">
        <v>85</v>
      </c>
      <c r="I59">
        <f>_xlfn.XLOOKUP(B59,Nodes!$A:$A,Nodes!$B:$B)</f>
        <v>50.09</v>
      </c>
      <c r="J59">
        <f>_xlfn.XLOOKUP(B59,Nodes!$A:$A,Nodes!$C:$C)</f>
        <v>14.42</v>
      </c>
      <c r="K59">
        <f>_xlfn.XLOOKUP(D59,Nodes!$A:$A,Nodes!$B:$B)</f>
        <v>49.75</v>
      </c>
      <c r="L59">
        <f>_xlfn.XLOOKUP(D59,Nodes!$A:$A,Nodes!$C:$C)</f>
        <v>13.38</v>
      </c>
    </row>
    <row r="60" spans="1:13">
      <c r="A60">
        <v>59</v>
      </c>
      <c r="B60">
        <f>_xlfn.XLOOKUP(C60,Nodes!$D:$D,Nodes!$A:$A)</f>
        <v>37</v>
      </c>
      <c r="C60" s="9" t="s">
        <v>48</v>
      </c>
      <c r="D60" s="9">
        <f>_xlfn.XLOOKUP(E60,Nodes!$D:$D,Nodes!$A:$A)</f>
        <v>31</v>
      </c>
      <c r="E60" s="9" t="s">
        <v>42</v>
      </c>
      <c r="F60" s="1">
        <f t="shared" si="5"/>
        <v>124.590578040929</v>
      </c>
      <c r="G60" s="3">
        <f t="shared" si="3"/>
        <v>0.987617619644934</v>
      </c>
      <c r="H60" s="1" t="s">
        <v>85</v>
      </c>
      <c r="I60">
        <f>_xlfn.XLOOKUP(B60,Nodes!$A:$A,Nodes!$B:$B)</f>
        <v>50.09</v>
      </c>
      <c r="J60">
        <f>_xlfn.XLOOKUP(B60,Nodes!$A:$A,Nodes!$C:$C)</f>
        <v>14.42</v>
      </c>
      <c r="K60">
        <f>_xlfn.XLOOKUP(D60,Nodes!$A:$A,Nodes!$B:$B)</f>
        <v>48.97</v>
      </c>
      <c r="L60">
        <f>_xlfn.XLOOKUP(D60,Nodes!$A:$A,Nodes!$C:$C)</f>
        <v>14.47</v>
      </c>
    </row>
    <row r="61" spans="1:13">
      <c r="A61">
        <v>60</v>
      </c>
      <c r="B61">
        <f>_xlfn.XLOOKUP(C61,Nodes!$D:$D,Nodes!$A:$A)</f>
        <v>37</v>
      </c>
      <c r="C61" s="9" t="s">
        <v>48</v>
      </c>
      <c r="D61" s="9">
        <f>_xlfn.XLOOKUP(E61,Nodes!$D:$D,Nodes!$A:$A)</f>
        <v>29</v>
      </c>
      <c r="E61" s="9" t="s">
        <v>39</v>
      </c>
      <c r="F61" s="1">
        <f t="shared" si="5"/>
        <v>186.153670767682</v>
      </c>
      <c r="G61" s="3">
        <f t="shared" si="3"/>
        <v>0.981555915054966</v>
      </c>
      <c r="H61" s="1" t="s">
        <v>85</v>
      </c>
      <c r="I61">
        <f>_xlfn.XLOOKUP(B61,Nodes!$A:$A,Nodes!$B:$B)</f>
        <v>50.09</v>
      </c>
      <c r="J61">
        <f>_xlfn.XLOOKUP(B61,Nodes!$A:$A,Nodes!$C:$C)</f>
        <v>14.42</v>
      </c>
      <c r="K61">
        <f>_xlfn.XLOOKUP(D61,Nodes!$A:$A,Nodes!$B:$B)</f>
        <v>49.2</v>
      </c>
      <c r="L61">
        <f>_xlfn.XLOOKUP(D61,Nodes!$A:$A,Nodes!$C:$C)</f>
        <v>16.61</v>
      </c>
    </row>
    <row r="62" spans="1:13">
      <c r="A62">
        <v>61</v>
      </c>
      <c r="B62">
        <f>_xlfn.XLOOKUP(C62,Nodes!$D:$D,Nodes!$A:$A)</f>
        <v>37</v>
      </c>
      <c r="C62" s="9" t="s">
        <v>48</v>
      </c>
      <c r="D62" s="9">
        <f>_xlfn.XLOOKUP(E62,Nodes!$D:$D,Nodes!$A:$A)</f>
        <v>30</v>
      </c>
      <c r="E62" s="9" t="s">
        <v>41</v>
      </c>
      <c r="F62" s="1">
        <f t="shared" si="5"/>
        <v>145.926684487603</v>
      </c>
      <c r="G62" s="3">
        <f t="shared" si="3"/>
        <v>0.985512569401943</v>
      </c>
      <c r="H62" s="1" t="s">
        <v>85</v>
      </c>
      <c r="I62">
        <f>_xlfn.XLOOKUP(B62,Nodes!$A:$A,Nodes!$B:$B)</f>
        <v>50.09</v>
      </c>
      <c r="J62">
        <f>_xlfn.XLOOKUP(B62,Nodes!$A:$A,Nodes!$C:$C)</f>
        <v>14.42</v>
      </c>
      <c r="K62">
        <f>_xlfn.XLOOKUP(D62,Nodes!$A:$A,Nodes!$B:$B)</f>
        <v>49.9</v>
      </c>
      <c r="L62">
        <f>_xlfn.XLOOKUP(D62,Nodes!$A:$A,Nodes!$C:$C)</f>
        <v>16.44</v>
      </c>
    </row>
    <row r="63" spans="1:13">
      <c r="A63">
        <v>62</v>
      </c>
      <c r="B63">
        <f>_xlfn.XLOOKUP(C63,Nodes!$D:$D,Nodes!$A:$A)</f>
        <v>33</v>
      </c>
      <c r="C63" s="9" t="s">
        <v>44</v>
      </c>
      <c r="D63" s="9">
        <f>_xlfn.XLOOKUP(E63,Nodes!$D:$D,Nodes!$A:$A)</f>
        <v>38</v>
      </c>
      <c r="E63" s="9" t="s">
        <v>49</v>
      </c>
      <c r="F63" s="1">
        <f t="shared" si="5"/>
        <v>73.5420444149406</v>
      </c>
      <c r="G63" s="3">
        <f t="shared" si="3"/>
        <v>0.992672406510302</v>
      </c>
      <c r="H63" s="1" t="s">
        <v>85</v>
      </c>
      <c r="I63">
        <f>_xlfn.XLOOKUP(B63,Nodes!$A:$A,Nodes!$B:$B)</f>
        <v>50.77</v>
      </c>
      <c r="J63">
        <f>_xlfn.XLOOKUP(B63,Nodes!$A:$A,Nodes!$C:$C)</f>
        <v>15.06</v>
      </c>
      <c r="K63">
        <f>_xlfn.XLOOKUP(D63,Nodes!$A:$A,Nodes!$B:$B)</f>
        <v>50.66</v>
      </c>
      <c r="L63">
        <f>_xlfn.XLOOKUP(D63,Nodes!$A:$A,Nodes!$C:$C)</f>
        <v>14.03</v>
      </c>
    </row>
    <row r="64" spans="1:13">
      <c r="A64">
        <v>63</v>
      </c>
      <c r="B64">
        <f>_xlfn.XLOOKUP(C64,Nodes!$D:$D,Nodes!$A:$A)</f>
        <v>38</v>
      </c>
      <c r="C64" s="9" t="s">
        <v>49</v>
      </c>
      <c r="D64" s="9">
        <f>_xlfn.XLOOKUP(E64,Nodes!$D:$D,Nodes!$A:$A)</f>
        <v>32</v>
      </c>
      <c r="E64" s="9" t="s">
        <v>43</v>
      </c>
      <c r="F64" s="1">
        <f t="shared" si="5"/>
        <v>95.0418749193868</v>
      </c>
      <c r="G64" s="3">
        <f t="shared" si="3"/>
        <v>0.990540363806895</v>
      </c>
      <c r="H64" s="1" t="s">
        <v>85</v>
      </c>
      <c r="I64">
        <f>_xlfn.XLOOKUP(B64,Nodes!$A:$A,Nodes!$B:$B)</f>
        <v>50.66</v>
      </c>
      <c r="J64">
        <f>_xlfn.XLOOKUP(B64,Nodes!$A:$A,Nodes!$C:$C)</f>
        <v>14.03</v>
      </c>
      <c r="K64">
        <f>_xlfn.XLOOKUP(D64,Nodes!$A:$A,Nodes!$B:$B)</f>
        <v>50.23</v>
      </c>
      <c r="L64">
        <f>_xlfn.XLOOKUP(D64,Nodes!$A:$A,Nodes!$C:$C)</f>
        <v>12.87</v>
      </c>
    </row>
    <row r="65" spans="1:12">
      <c r="A65">
        <v>64</v>
      </c>
      <c r="B65">
        <f>_xlfn.XLOOKUP(C65,Nodes!$D:$D,Nodes!$A:$A)</f>
        <v>32</v>
      </c>
      <c r="C65" s="9" t="s">
        <v>43</v>
      </c>
      <c r="D65" s="9">
        <f>_xlfn.XLOOKUP(E65,Nodes!$D:$D,Nodes!$A:$A)</f>
        <v>36</v>
      </c>
      <c r="E65" s="9" t="s">
        <v>47</v>
      </c>
      <c r="F65" s="1">
        <f t="shared" si="5"/>
        <v>64.6374530141759</v>
      </c>
      <c r="G65" s="3">
        <f t="shared" si="3"/>
        <v>0.993556778637307</v>
      </c>
      <c r="H65" s="1" t="s">
        <v>85</v>
      </c>
      <c r="I65">
        <f>_xlfn.XLOOKUP(B65,Nodes!$A:$A,Nodes!$B:$B)</f>
        <v>50.23</v>
      </c>
      <c r="J65">
        <f>_xlfn.XLOOKUP(B65,Nodes!$A:$A,Nodes!$C:$C)</f>
        <v>12.87</v>
      </c>
      <c r="K65">
        <f>_xlfn.XLOOKUP(D65,Nodes!$A:$A,Nodes!$B:$B)</f>
        <v>49.75</v>
      </c>
      <c r="L65">
        <f>_xlfn.XLOOKUP(D65,Nodes!$A:$A,Nodes!$C:$C)</f>
        <v>13.38</v>
      </c>
    </row>
    <row r="66" spans="1:12">
      <c r="A66">
        <v>65</v>
      </c>
      <c r="B66">
        <f>_xlfn.XLOOKUP(C66,Nodes!$D:$D,Nodes!$A:$A)</f>
        <v>36</v>
      </c>
      <c r="C66" s="9" t="s">
        <v>47</v>
      </c>
      <c r="D66" s="9">
        <f>_xlfn.XLOOKUP(E66,Nodes!$D:$D,Nodes!$A:$A)</f>
        <v>31</v>
      </c>
      <c r="E66" s="9" t="s">
        <v>42</v>
      </c>
      <c r="F66" s="1">
        <f t="shared" si="5"/>
        <v>117.274559350789</v>
      </c>
      <c r="G66" s="3">
        <f t="shared" si="3"/>
        <v>0.988340463068668</v>
      </c>
      <c r="H66" s="1" t="s">
        <v>85</v>
      </c>
      <c r="I66">
        <f>_xlfn.XLOOKUP(B66,Nodes!$A:$A,Nodes!$B:$B)</f>
        <v>49.75</v>
      </c>
      <c r="J66">
        <f>_xlfn.XLOOKUP(B66,Nodes!$A:$A,Nodes!$C:$C)</f>
        <v>13.38</v>
      </c>
      <c r="K66">
        <f>_xlfn.XLOOKUP(D66,Nodes!$A:$A,Nodes!$B:$B)</f>
        <v>48.97</v>
      </c>
      <c r="L66">
        <f>_xlfn.XLOOKUP(D66,Nodes!$A:$A,Nodes!$C:$C)</f>
        <v>14.47</v>
      </c>
    </row>
    <row r="67" spans="1:12">
      <c r="A67">
        <v>66</v>
      </c>
      <c r="B67">
        <f>_xlfn.XLOOKUP(C67,Nodes!$D:$D,Nodes!$A:$A)</f>
        <v>31</v>
      </c>
      <c r="C67" s="9" t="s">
        <v>42</v>
      </c>
      <c r="D67" s="9">
        <f>_xlfn.XLOOKUP(E67,Nodes!$D:$D,Nodes!$A:$A)</f>
        <v>30</v>
      </c>
      <c r="E67" s="9" t="s">
        <v>41</v>
      </c>
      <c r="F67" s="1">
        <f t="shared" si="5"/>
        <v>176.020873240079</v>
      </c>
      <c r="G67" s="3">
        <f t="shared" si="3"/>
        <v>0.982551059642732</v>
      </c>
      <c r="H67" s="1" t="s">
        <v>85</v>
      </c>
      <c r="I67">
        <f>_xlfn.XLOOKUP(B67,Nodes!$A:$A,Nodes!$B:$B)</f>
        <v>48.97</v>
      </c>
      <c r="J67">
        <f>_xlfn.XLOOKUP(B67,Nodes!$A:$A,Nodes!$C:$C)</f>
        <v>14.47</v>
      </c>
      <c r="K67">
        <f>_xlfn.XLOOKUP(D67,Nodes!$A:$A,Nodes!$B:$B)</f>
        <v>49.9</v>
      </c>
      <c r="L67">
        <f>_xlfn.XLOOKUP(D67,Nodes!$A:$A,Nodes!$C:$C)</f>
        <v>16.44</v>
      </c>
    </row>
    <row r="68" spans="1:12">
      <c r="A68">
        <v>67</v>
      </c>
      <c r="B68">
        <f>_xlfn.XLOOKUP(C68,Nodes!$D:$D,Nodes!$A:$A)</f>
        <v>31</v>
      </c>
      <c r="C68" s="9" t="s">
        <v>42</v>
      </c>
      <c r="D68" s="9">
        <f>_xlfn.XLOOKUP(E68,Nodes!$D:$D,Nodes!$A:$A)</f>
        <v>29</v>
      </c>
      <c r="E68" s="9" t="s">
        <v>39</v>
      </c>
      <c r="F68" s="1">
        <f t="shared" si="5"/>
        <v>157.926212944635</v>
      </c>
      <c r="G68" s="3">
        <f t="shared" si="3"/>
        <v>0.984330650957932</v>
      </c>
      <c r="H68" s="1" t="s">
        <v>85</v>
      </c>
      <c r="I68">
        <f>_xlfn.XLOOKUP(B68,Nodes!$A:$A,Nodes!$B:$B)</f>
        <v>48.97</v>
      </c>
      <c r="J68">
        <f>_xlfn.XLOOKUP(B68,Nodes!$A:$A,Nodes!$C:$C)</f>
        <v>14.47</v>
      </c>
      <c r="K68">
        <f>_xlfn.XLOOKUP(D68,Nodes!$A:$A,Nodes!$B:$B)</f>
        <v>49.2</v>
      </c>
      <c r="L68">
        <f>_xlfn.XLOOKUP(D68,Nodes!$A:$A,Nodes!$C:$C)</f>
        <v>16.61</v>
      </c>
    </row>
    <row r="69" spans="1:12">
      <c r="A69">
        <v>68</v>
      </c>
      <c r="B69">
        <f>_xlfn.XLOOKUP(C69,Nodes!$D:$D,Nodes!$A:$A)</f>
        <v>30</v>
      </c>
      <c r="C69" s="9" t="s">
        <v>41</v>
      </c>
      <c r="D69" s="9">
        <f>_xlfn.XLOOKUP(E69,Nodes!$D:$D,Nodes!$A:$A)</f>
        <v>34</v>
      </c>
      <c r="E69" s="9" t="s">
        <v>45</v>
      </c>
      <c r="F69" s="1">
        <f t="shared" si="5"/>
        <v>67.0773872325454</v>
      </c>
      <c r="G69" s="3">
        <f t="shared" si="3"/>
        <v>0.993314374772379</v>
      </c>
      <c r="H69" s="1" t="s">
        <v>85</v>
      </c>
      <c r="I69">
        <f>_xlfn.XLOOKUP(B69,Nodes!$A:$A,Nodes!$B:$B)</f>
        <v>49.9</v>
      </c>
      <c r="J69">
        <f>_xlfn.XLOOKUP(B69,Nodes!$A:$A,Nodes!$C:$C)</f>
        <v>16.44</v>
      </c>
      <c r="K69">
        <f>_xlfn.XLOOKUP(D69,Nodes!$A:$A,Nodes!$B:$B)</f>
        <v>49.6</v>
      </c>
      <c r="L69">
        <f>_xlfn.XLOOKUP(D69,Nodes!$A:$A,Nodes!$C:$C)</f>
        <v>17.25</v>
      </c>
    </row>
    <row r="70" spans="1:12">
      <c r="A70">
        <v>69</v>
      </c>
      <c r="B70">
        <f>_xlfn.XLOOKUP(C70,Nodes!$D:$D,Nodes!$A:$A)</f>
        <v>30</v>
      </c>
      <c r="C70" s="9" t="s">
        <v>41</v>
      </c>
      <c r="D70" s="9">
        <f>_xlfn.XLOOKUP(E70,Nodes!$D:$D,Nodes!$A:$A)</f>
        <v>29</v>
      </c>
      <c r="E70" s="9" t="s">
        <v>39</v>
      </c>
      <c r="F70" s="1">
        <f t="shared" si="5"/>
        <v>78.796638161584</v>
      </c>
      <c r="G70" s="3">
        <f t="shared" si="3"/>
        <v>0.992150908438018</v>
      </c>
      <c r="H70" s="1" t="s">
        <v>85</v>
      </c>
      <c r="I70">
        <f>_xlfn.XLOOKUP(B70,Nodes!$A:$A,Nodes!$B:$B)</f>
        <v>49.9</v>
      </c>
      <c r="J70">
        <f>_xlfn.XLOOKUP(B70,Nodes!$A:$A,Nodes!$C:$C)</f>
        <v>16.44</v>
      </c>
      <c r="K70">
        <f>_xlfn.XLOOKUP(D70,Nodes!$A:$A,Nodes!$B:$B)</f>
        <v>49.2</v>
      </c>
      <c r="L70">
        <f>_xlfn.XLOOKUP(D70,Nodes!$A:$A,Nodes!$C:$C)</f>
        <v>16.61</v>
      </c>
    </row>
    <row r="71" spans="1:12">
      <c r="A71">
        <v>70</v>
      </c>
      <c r="B71">
        <f>_xlfn.XLOOKUP(C71,Nodes!$D:$D,Nodes!$A:$A)</f>
        <v>29</v>
      </c>
      <c r="C71" s="9" t="s">
        <v>39</v>
      </c>
      <c r="D71" s="9">
        <f>_xlfn.XLOOKUP(E71,Nodes!$D:$D,Nodes!$A:$A)</f>
        <v>39</v>
      </c>
      <c r="E71" s="9" t="s">
        <v>50</v>
      </c>
      <c r="F71" s="1">
        <f t="shared" si="5"/>
        <v>77.0323825722232</v>
      </c>
      <c r="G71" s="3">
        <f t="shared" si="3"/>
        <v>0.992325973412496</v>
      </c>
      <c r="H71" s="1" t="s">
        <v>85</v>
      </c>
      <c r="I71">
        <f>_xlfn.XLOOKUP(B71,Nodes!$A:$A,Nodes!$B:$B)</f>
        <v>49.2</v>
      </c>
      <c r="J71">
        <f>_xlfn.XLOOKUP(B71,Nodes!$A:$A,Nodes!$C:$C)</f>
        <v>16.61</v>
      </c>
      <c r="K71">
        <f>_xlfn.XLOOKUP(D71,Nodes!$A:$A,Nodes!$B:$B)</f>
        <v>49.22</v>
      </c>
      <c r="L71">
        <f>_xlfn.XLOOKUP(D71,Nodes!$A:$A,Nodes!$C:$C)</f>
        <v>17.67</v>
      </c>
    </row>
    <row r="72" spans="1:12">
      <c r="A72">
        <v>71</v>
      </c>
      <c r="B72">
        <f>_xlfn.XLOOKUP(C72,Nodes!$D:$D,Nodes!$A:$A)</f>
        <v>34</v>
      </c>
      <c r="C72" s="9" t="s">
        <v>45</v>
      </c>
      <c r="D72" s="9">
        <f>_xlfn.XLOOKUP(E72,Nodes!$D:$D,Nodes!$A:$A)</f>
        <v>35</v>
      </c>
      <c r="E72" s="9" t="s">
        <v>46</v>
      </c>
      <c r="F72" s="1">
        <f t="shared" si="5"/>
        <v>78.3454635141068</v>
      </c>
      <c r="G72" s="3">
        <f t="shared" si="3"/>
        <v>0.99219567501989</v>
      </c>
      <c r="H72" s="1" t="s">
        <v>85</v>
      </c>
      <c r="I72">
        <f>_xlfn.XLOOKUP(B72,Nodes!$A:$A,Nodes!$B:$B)</f>
        <v>49.6</v>
      </c>
      <c r="J72">
        <f>_xlfn.XLOOKUP(B72,Nodes!$A:$A,Nodes!$C:$C)</f>
        <v>17.25</v>
      </c>
      <c r="K72">
        <f>_xlfn.XLOOKUP(D72,Nodes!$A:$A,Nodes!$B:$B)</f>
        <v>49.83</v>
      </c>
      <c r="L72">
        <f>_xlfn.XLOOKUP(D72,Nodes!$A:$A,Nodes!$C:$C)</f>
        <v>18.28</v>
      </c>
    </row>
    <row r="73" spans="1:12">
      <c r="A73">
        <v>72</v>
      </c>
      <c r="B73">
        <f>_xlfn.XLOOKUP(C73,Nodes!$D:$D,Nodes!$A:$A)</f>
        <v>35</v>
      </c>
      <c r="C73" s="9" t="s">
        <v>46</v>
      </c>
      <c r="D73" s="9">
        <f>_xlfn.XLOOKUP(E73,Nodes!$D:$D,Nodes!$A:$A)</f>
        <v>39</v>
      </c>
      <c r="E73" s="9" t="s">
        <v>50</v>
      </c>
      <c r="F73" s="1">
        <f t="shared" si="5"/>
        <v>80.865288488868</v>
      </c>
      <c r="G73" s="3">
        <f t="shared" ref="G73:G104" si="6">(0.9999)^F73</f>
        <v>0.991945678074408</v>
      </c>
      <c r="H73" s="1" t="s">
        <v>85</v>
      </c>
      <c r="I73">
        <f>_xlfn.XLOOKUP(B73,Nodes!$A:$A,Nodes!$B:$B)</f>
        <v>49.83</v>
      </c>
      <c r="J73">
        <f>_xlfn.XLOOKUP(B73,Nodes!$A:$A,Nodes!$C:$C)</f>
        <v>18.28</v>
      </c>
      <c r="K73">
        <f>_xlfn.XLOOKUP(D73,Nodes!$A:$A,Nodes!$B:$B)</f>
        <v>49.22</v>
      </c>
      <c r="L73">
        <f>_xlfn.XLOOKUP(D73,Nodes!$A:$A,Nodes!$C:$C)</f>
        <v>17.67</v>
      </c>
    </row>
    <row r="74" spans="1:12">
      <c r="A74">
        <v>73</v>
      </c>
      <c r="B74">
        <f>_xlfn.XLOOKUP(C74,Nodes!$D:$D,Nodes!$A:$A)</f>
        <v>29</v>
      </c>
      <c r="C74" s="9" t="s">
        <v>39</v>
      </c>
      <c r="D74" s="9">
        <f>_xlfn.XLOOKUP(E74,Nodes!$D:$D,Nodes!$A:$A)</f>
        <v>34</v>
      </c>
      <c r="E74" s="9" t="s">
        <v>45</v>
      </c>
      <c r="F74" s="1">
        <f t="shared" si="5"/>
        <v>64.2109908561282</v>
      </c>
      <c r="G74" s="3">
        <f t="shared" si="6"/>
        <v>0.99359915309641</v>
      </c>
      <c r="H74" s="1" t="s">
        <v>85</v>
      </c>
      <c r="I74">
        <f>_xlfn.XLOOKUP(B74,Nodes!$A:$A,Nodes!$B:$B)</f>
        <v>49.2</v>
      </c>
      <c r="J74">
        <f>_xlfn.XLOOKUP(B74,Nodes!$A:$A,Nodes!$C:$C)</f>
        <v>16.61</v>
      </c>
      <c r="K74">
        <f>_xlfn.XLOOKUP(D74,Nodes!$A:$A,Nodes!$B:$B)</f>
        <v>49.6</v>
      </c>
      <c r="L74">
        <f>_xlfn.XLOOKUP(D74,Nodes!$A:$A,Nodes!$C:$C)</f>
        <v>17.25</v>
      </c>
    </row>
    <row r="75" spans="1:12">
      <c r="A75">
        <v>74</v>
      </c>
      <c r="B75">
        <f>_xlfn.XLOOKUP(C75,Nodes!$D:$D,Nodes!$A:$A)</f>
        <v>34</v>
      </c>
      <c r="C75" s="9" t="s">
        <v>45</v>
      </c>
      <c r="D75" s="9">
        <f>_xlfn.XLOOKUP(E75,Nodes!$D:$D,Nodes!$A:$A)</f>
        <v>39</v>
      </c>
      <c r="E75" s="9" t="s">
        <v>50</v>
      </c>
      <c r="F75" s="1">
        <f t="shared" si="5"/>
        <v>52.0452412151291</v>
      </c>
      <c r="G75" s="3">
        <f t="shared" si="6"/>
        <v>0.99480873705621</v>
      </c>
      <c r="H75" s="1" t="s">
        <v>85</v>
      </c>
      <c r="I75">
        <f>_xlfn.XLOOKUP(B75,Nodes!$A:$A,Nodes!$B:$B)</f>
        <v>49.6</v>
      </c>
      <c r="J75">
        <f>_xlfn.XLOOKUP(B75,Nodes!$A:$A,Nodes!$C:$C)</f>
        <v>17.25</v>
      </c>
      <c r="K75">
        <f>_xlfn.XLOOKUP(D75,Nodes!$A:$A,Nodes!$B:$B)</f>
        <v>49.22</v>
      </c>
      <c r="L75">
        <f>_xlfn.XLOOKUP(D75,Nodes!$A:$A,Nodes!$C:$C)</f>
        <v>17.67</v>
      </c>
    </row>
    <row r="76" spans="1:12">
      <c r="A76">
        <v>75</v>
      </c>
      <c r="B76">
        <f>_xlfn.XLOOKUP(C76,Nodes!$D:$D,Nodes!$A:$A)</f>
        <v>46</v>
      </c>
      <c r="C76" s="10" t="s">
        <v>58</v>
      </c>
      <c r="D76" s="10">
        <f>_xlfn.XLOOKUP(E76,Nodes!$D:$D,Nodes!$A:$A)</f>
        <v>40</v>
      </c>
      <c r="E76" s="10" t="s">
        <v>51</v>
      </c>
      <c r="F76" s="1">
        <f t="shared" ref="F76:F88" si="7">6371*2*ASIN(SQRT(SIN(RADIANS((K76-I76)/2))^2+COS(RADIANS(I76))*COS(RADIANS(K76))*SIN(RADIANS((L76-J76)/2))^2))</f>
        <v>154.88183911327</v>
      </c>
      <c r="G76" s="3">
        <f t="shared" si="6"/>
        <v>0.98463037861392</v>
      </c>
      <c r="H76" s="1" t="s">
        <v>85</v>
      </c>
      <c r="I76">
        <f>_xlfn.XLOOKUP(B76,Nodes!$A:$A,Nodes!$B:$B)</f>
        <v>48.209</v>
      </c>
      <c r="J76">
        <f>_xlfn.XLOOKUP(B76,Nodes!$A:$A,Nodes!$C:$C)</f>
        <v>16.373</v>
      </c>
      <c r="K76">
        <f>_xlfn.XLOOKUP(D76,Nodes!$A:$A,Nodes!$B:$B)</f>
        <v>48.307</v>
      </c>
      <c r="L76">
        <f>_xlfn.XLOOKUP(D76,Nodes!$A:$A,Nodes!$C:$C)</f>
        <v>14.286</v>
      </c>
    </row>
    <row r="77" spans="1:12">
      <c r="A77">
        <v>76</v>
      </c>
      <c r="B77">
        <f>_xlfn.XLOOKUP(C77,Nodes!$D:$D,Nodes!$A:$A)</f>
        <v>46</v>
      </c>
      <c r="C77" s="10" t="s">
        <v>58</v>
      </c>
      <c r="D77" s="10">
        <f>_xlfn.XLOOKUP(E77,Nodes!$D:$D,Nodes!$A:$A)</f>
        <v>41</v>
      </c>
      <c r="E77" s="10" t="s">
        <v>53</v>
      </c>
      <c r="F77" s="1">
        <f t="shared" si="7"/>
        <v>251.78865570197</v>
      </c>
      <c r="G77" s="3">
        <f t="shared" si="6"/>
        <v>0.975134250544032</v>
      </c>
      <c r="H77" s="1" t="s">
        <v>85</v>
      </c>
      <c r="I77">
        <f>_xlfn.XLOOKUP(B77,Nodes!$A:$A,Nodes!$B:$B)</f>
        <v>48.209</v>
      </c>
      <c r="J77">
        <f>_xlfn.XLOOKUP(B77,Nodes!$A:$A,Nodes!$C:$C)</f>
        <v>16.373</v>
      </c>
      <c r="K77">
        <f>_xlfn.XLOOKUP(D77,Nodes!$A:$A,Nodes!$B:$B)</f>
        <v>47.8</v>
      </c>
      <c r="L77">
        <f>_xlfn.XLOOKUP(D77,Nodes!$A:$A,Nodes!$C:$C)</f>
        <v>13.044</v>
      </c>
    </row>
    <row r="78" spans="1:12">
      <c r="A78">
        <v>77</v>
      </c>
      <c r="B78">
        <f>_xlfn.XLOOKUP(C78,Nodes!$D:$D,Nodes!$A:$A)</f>
        <v>46</v>
      </c>
      <c r="C78" s="10" t="s">
        <v>58</v>
      </c>
      <c r="D78" s="10">
        <f>_xlfn.XLOOKUP(E78,Nodes!$D:$D,Nodes!$A:$A)</f>
        <v>42</v>
      </c>
      <c r="E78" s="10" t="s">
        <v>54</v>
      </c>
      <c r="F78" s="1">
        <f t="shared" si="7"/>
        <v>386.942609373349</v>
      </c>
      <c r="G78" s="3">
        <f t="shared" si="6"/>
        <v>0.962042937458851</v>
      </c>
      <c r="H78" s="1" t="s">
        <v>85</v>
      </c>
      <c r="I78">
        <f>_xlfn.XLOOKUP(B78,Nodes!$A:$A,Nodes!$B:$B)</f>
        <v>48.209</v>
      </c>
      <c r="J78">
        <f>_xlfn.XLOOKUP(B78,Nodes!$A:$A,Nodes!$C:$C)</f>
        <v>16.373</v>
      </c>
      <c r="K78">
        <f>_xlfn.XLOOKUP(D78,Nodes!$A:$A,Nodes!$B:$B)</f>
        <v>47.26</v>
      </c>
      <c r="L78">
        <f>_xlfn.XLOOKUP(D78,Nodes!$A:$A,Nodes!$C:$C)</f>
        <v>11.394</v>
      </c>
    </row>
    <row r="79" spans="1:12">
      <c r="A79">
        <v>78</v>
      </c>
      <c r="B79">
        <f>_xlfn.XLOOKUP(C79,Nodes!$D:$D,Nodes!$A:$A)</f>
        <v>46</v>
      </c>
      <c r="C79" s="10" t="s">
        <v>58</v>
      </c>
      <c r="D79" s="10">
        <f>_xlfn.XLOOKUP(E79,Nodes!$D:$D,Nodes!$A:$A)</f>
        <v>45</v>
      </c>
      <c r="E79" s="10" t="s">
        <v>57</v>
      </c>
      <c r="F79" s="1">
        <f t="shared" si="7"/>
        <v>144.694607896383</v>
      </c>
      <c r="G79" s="3">
        <f t="shared" si="6"/>
        <v>0.985634005651352</v>
      </c>
      <c r="H79" s="1" t="s">
        <v>85</v>
      </c>
      <c r="I79">
        <f>_xlfn.XLOOKUP(B79,Nodes!$A:$A,Nodes!$B:$B)</f>
        <v>48.209</v>
      </c>
      <c r="J79">
        <f>_xlfn.XLOOKUP(B79,Nodes!$A:$A,Nodes!$C:$C)</f>
        <v>16.373</v>
      </c>
      <c r="K79">
        <f>_xlfn.XLOOKUP(D79,Nodes!$A:$A,Nodes!$B:$B)</f>
        <v>47.07</v>
      </c>
      <c r="L79">
        <f>_xlfn.XLOOKUP(D79,Nodes!$A:$A,Nodes!$C:$C)</f>
        <v>15.439</v>
      </c>
    </row>
    <row r="80" spans="1:12">
      <c r="A80">
        <v>79</v>
      </c>
      <c r="B80">
        <f>_xlfn.XLOOKUP(C80,Nodes!$D:$D,Nodes!$A:$A)</f>
        <v>46</v>
      </c>
      <c r="C80" s="10" t="s">
        <v>58</v>
      </c>
      <c r="D80" s="10">
        <f>_xlfn.XLOOKUP(E80,Nodes!$D:$D,Nodes!$A:$A)</f>
        <v>44</v>
      </c>
      <c r="E80" s="10" t="s">
        <v>56</v>
      </c>
      <c r="F80" s="1">
        <f t="shared" si="7"/>
        <v>235.084503059378</v>
      </c>
      <c r="G80" s="3">
        <f t="shared" si="6"/>
        <v>0.976764572476511</v>
      </c>
      <c r="H80" s="1" t="s">
        <v>85</v>
      </c>
      <c r="I80">
        <f>_xlfn.XLOOKUP(B80,Nodes!$A:$A,Nodes!$B:$B)</f>
        <v>48.209</v>
      </c>
      <c r="J80">
        <f>_xlfn.XLOOKUP(B80,Nodes!$A:$A,Nodes!$C:$C)</f>
        <v>16.373</v>
      </c>
      <c r="K80">
        <f>_xlfn.XLOOKUP(D80,Nodes!$A:$A,Nodes!$B:$B)</f>
        <v>46.624</v>
      </c>
      <c r="L80">
        <f>_xlfn.XLOOKUP(D80,Nodes!$A:$A,Nodes!$C:$C)</f>
        <v>14.305</v>
      </c>
    </row>
    <row r="81" spans="1:12">
      <c r="A81">
        <v>80</v>
      </c>
      <c r="B81">
        <f>_xlfn.XLOOKUP(C81,Nodes!$D:$D,Nodes!$A:$A)</f>
        <v>40</v>
      </c>
      <c r="C81" s="10" t="s">
        <v>51</v>
      </c>
      <c r="D81" s="10">
        <f>_xlfn.XLOOKUP(E81,Nodes!$D:$D,Nodes!$A:$A)</f>
        <v>45</v>
      </c>
      <c r="E81" s="10" t="s">
        <v>57</v>
      </c>
      <c r="F81" s="1">
        <f t="shared" si="7"/>
        <v>162.377555622514</v>
      </c>
      <c r="G81" s="3">
        <f t="shared" si="6"/>
        <v>0.983892567260074</v>
      </c>
      <c r="H81" s="1" t="s">
        <v>85</v>
      </c>
      <c r="I81">
        <f>_xlfn.XLOOKUP(B81,Nodes!$A:$A,Nodes!$B:$B)</f>
        <v>48.307</v>
      </c>
      <c r="J81">
        <f>_xlfn.XLOOKUP(B81,Nodes!$A:$A,Nodes!$C:$C)</f>
        <v>14.286</v>
      </c>
      <c r="K81">
        <f>_xlfn.XLOOKUP(D81,Nodes!$A:$A,Nodes!$B:$B)</f>
        <v>47.07</v>
      </c>
      <c r="L81">
        <f>_xlfn.XLOOKUP(D81,Nodes!$A:$A,Nodes!$C:$C)</f>
        <v>15.439</v>
      </c>
    </row>
    <row r="82" spans="1:12">
      <c r="A82">
        <v>81</v>
      </c>
      <c r="B82">
        <f>_xlfn.XLOOKUP(C82,Nodes!$D:$D,Nodes!$A:$A)</f>
        <v>40</v>
      </c>
      <c r="C82" s="10" t="s">
        <v>51</v>
      </c>
      <c r="D82" s="10">
        <f>_xlfn.XLOOKUP(E82,Nodes!$D:$D,Nodes!$A:$A)</f>
        <v>41</v>
      </c>
      <c r="E82" s="10" t="s">
        <v>53</v>
      </c>
      <c r="F82" s="1">
        <f t="shared" si="7"/>
        <v>108.164810286542</v>
      </c>
      <c r="G82" s="3">
        <f t="shared" si="6"/>
        <v>0.989241271715448</v>
      </c>
      <c r="H82" s="1" t="s">
        <v>85</v>
      </c>
      <c r="I82">
        <f>_xlfn.XLOOKUP(B82,Nodes!$A:$A,Nodes!$B:$B)</f>
        <v>48.307</v>
      </c>
      <c r="J82">
        <f>_xlfn.XLOOKUP(B82,Nodes!$A:$A,Nodes!$C:$C)</f>
        <v>14.286</v>
      </c>
      <c r="K82">
        <f>_xlfn.XLOOKUP(D82,Nodes!$A:$A,Nodes!$B:$B)</f>
        <v>47.8</v>
      </c>
      <c r="L82">
        <f>_xlfn.XLOOKUP(D82,Nodes!$A:$A,Nodes!$C:$C)</f>
        <v>13.044</v>
      </c>
    </row>
    <row r="83" spans="1:12">
      <c r="A83">
        <v>82</v>
      </c>
      <c r="B83">
        <f>_xlfn.XLOOKUP(C83,Nodes!$D:$D,Nodes!$A:$A)</f>
        <v>41</v>
      </c>
      <c r="C83" s="10" t="s">
        <v>53</v>
      </c>
      <c r="D83" s="10">
        <f>_xlfn.XLOOKUP(E83,Nodes!$D:$D,Nodes!$A:$A)</f>
        <v>42</v>
      </c>
      <c r="E83" s="10" t="s">
        <v>54</v>
      </c>
      <c r="F83" s="1">
        <f t="shared" si="7"/>
        <v>137.661855713189</v>
      </c>
      <c r="G83" s="3">
        <f t="shared" si="6"/>
        <v>0.986327456109639</v>
      </c>
      <c r="H83" s="1" t="s">
        <v>85</v>
      </c>
      <c r="I83">
        <f>_xlfn.XLOOKUP(B83,Nodes!$A:$A,Nodes!$B:$B)</f>
        <v>47.8</v>
      </c>
      <c r="J83">
        <f>_xlfn.XLOOKUP(B83,Nodes!$A:$A,Nodes!$C:$C)</f>
        <v>13.044</v>
      </c>
      <c r="K83">
        <f>_xlfn.XLOOKUP(D83,Nodes!$A:$A,Nodes!$B:$B)</f>
        <v>47.26</v>
      </c>
      <c r="L83">
        <f>_xlfn.XLOOKUP(D83,Nodes!$A:$A,Nodes!$C:$C)</f>
        <v>11.394</v>
      </c>
    </row>
    <row r="84" spans="1:12">
      <c r="A84">
        <v>83</v>
      </c>
      <c r="B84">
        <f>_xlfn.XLOOKUP(C84,Nodes!$D:$D,Nodes!$A:$A)</f>
        <v>41</v>
      </c>
      <c r="C84" s="10" t="s">
        <v>53</v>
      </c>
      <c r="D84" s="10">
        <f>_xlfn.XLOOKUP(E84,Nodes!$D:$D,Nodes!$A:$A)</f>
        <v>45</v>
      </c>
      <c r="E84" s="10" t="s">
        <v>57</v>
      </c>
      <c r="F84" s="1">
        <f t="shared" si="7"/>
        <v>197.572541483112</v>
      </c>
      <c r="G84" s="3">
        <f t="shared" si="6"/>
        <v>0.980435672749352</v>
      </c>
      <c r="H84" s="1" t="s">
        <v>85</v>
      </c>
      <c r="I84">
        <f>_xlfn.XLOOKUP(B84,Nodes!$A:$A,Nodes!$B:$B)</f>
        <v>47.8</v>
      </c>
      <c r="J84">
        <f>_xlfn.XLOOKUP(B84,Nodes!$A:$A,Nodes!$C:$C)</f>
        <v>13.044</v>
      </c>
      <c r="K84">
        <f>_xlfn.XLOOKUP(D84,Nodes!$A:$A,Nodes!$B:$B)</f>
        <v>47.07</v>
      </c>
      <c r="L84">
        <f>_xlfn.XLOOKUP(D84,Nodes!$A:$A,Nodes!$C:$C)</f>
        <v>15.439</v>
      </c>
    </row>
    <row r="85" spans="1:12">
      <c r="A85">
        <v>84</v>
      </c>
      <c r="B85">
        <f>_xlfn.XLOOKUP(C85,Nodes!$D:$D,Nodes!$A:$A)</f>
        <v>42</v>
      </c>
      <c r="C85" s="10" t="s">
        <v>54</v>
      </c>
      <c r="D85" s="10">
        <f>_xlfn.XLOOKUP(E85,Nodes!$D:$D,Nodes!$A:$A)</f>
        <v>47</v>
      </c>
      <c r="E85" s="10" t="s">
        <v>59</v>
      </c>
      <c r="F85" s="1">
        <f t="shared" si="7"/>
        <v>200.690428125027</v>
      </c>
      <c r="G85" s="3">
        <f t="shared" si="6"/>
        <v>0.980130016390118</v>
      </c>
      <c r="H85" s="1" t="s">
        <v>85</v>
      </c>
      <c r="I85">
        <f>_xlfn.XLOOKUP(B85,Nodes!$A:$A,Nodes!$B:$B)</f>
        <v>47.26</v>
      </c>
      <c r="J85">
        <f>_xlfn.XLOOKUP(B85,Nodes!$A:$A,Nodes!$C:$C)</f>
        <v>11.394</v>
      </c>
      <c r="K85">
        <f>_xlfn.XLOOKUP(D85,Nodes!$A:$A,Nodes!$B:$B)</f>
        <v>46.61</v>
      </c>
      <c r="L85">
        <f>_xlfn.XLOOKUP(D85,Nodes!$A:$A,Nodes!$C:$C)</f>
        <v>13.86</v>
      </c>
    </row>
    <row r="86" spans="1:12">
      <c r="A86">
        <v>85</v>
      </c>
      <c r="B86">
        <f>_xlfn.XLOOKUP(C86,Nodes!$D:$D,Nodes!$A:$A)</f>
        <v>47</v>
      </c>
      <c r="C86" s="10" t="s">
        <v>59</v>
      </c>
      <c r="D86" s="10">
        <f>_xlfn.XLOOKUP(E86,Nodes!$D:$D,Nodes!$A:$A)</f>
        <v>44</v>
      </c>
      <c r="E86" s="10" t="s">
        <v>56</v>
      </c>
      <c r="F86" s="1">
        <f t="shared" si="7"/>
        <v>34.0232056346042</v>
      </c>
      <c r="G86" s="3">
        <f t="shared" si="6"/>
        <v>0.996603291221128</v>
      </c>
      <c r="H86" s="1" t="s">
        <v>85</v>
      </c>
      <c r="I86">
        <f>_xlfn.XLOOKUP(B86,Nodes!$A:$A,Nodes!$B:$B)</f>
        <v>46.61</v>
      </c>
      <c r="J86">
        <f>_xlfn.XLOOKUP(B86,Nodes!$A:$A,Nodes!$C:$C)</f>
        <v>13.86</v>
      </c>
      <c r="K86">
        <f>_xlfn.XLOOKUP(D86,Nodes!$A:$A,Nodes!$B:$B)</f>
        <v>46.624</v>
      </c>
      <c r="L86">
        <f>_xlfn.XLOOKUP(D86,Nodes!$A:$A,Nodes!$C:$C)</f>
        <v>14.305</v>
      </c>
    </row>
    <row r="87" spans="1:12">
      <c r="A87">
        <v>86</v>
      </c>
      <c r="B87">
        <f>_xlfn.XLOOKUP(C87,Nodes!$D:$D,Nodes!$A:$A)</f>
        <v>44</v>
      </c>
      <c r="C87" s="10" t="s">
        <v>56</v>
      </c>
      <c r="D87" s="10">
        <f>_xlfn.XLOOKUP(E87,Nodes!$D:$D,Nodes!$A:$A)</f>
        <v>45</v>
      </c>
      <c r="E87" s="10" t="s">
        <v>57</v>
      </c>
      <c r="F87" s="1">
        <f t="shared" si="7"/>
        <v>99.4833909713152</v>
      </c>
      <c r="G87" s="3">
        <f t="shared" si="6"/>
        <v>0.990100489412907</v>
      </c>
      <c r="H87" s="1" t="s">
        <v>85</v>
      </c>
      <c r="I87">
        <f>_xlfn.XLOOKUP(B87,Nodes!$A:$A,Nodes!$B:$B)</f>
        <v>46.624</v>
      </c>
      <c r="J87">
        <f>_xlfn.XLOOKUP(B87,Nodes!$A:$A,Nodes!$C:$C)</f>
        <v>14.305</v>
      </c>
      <c r="K87">
        <f>_xlfn.XLOOKUP(D87,Nodes!$A:$A,Nodes!$B:$B)</f>
        <v>47.07</v>
      </c>
      <c r="L87">
        <f>_xlfn.XLOOKUP(D87,Nodes!$A:$A,Nodes!$C:$C)</f>
        <v>15.439</v>
      </c>
    </row>
    <row r="88" spans="1:12">
      <c r="A88">
        <v>87</v>
      </c>
      <c r="B88">
        <f>_xlfn.XLOOKUP(C88,Nodes!$D:$D,Nodes!$A:$A)</f>
        <v>42</v>
      </c>
      <c r="C88" s="10" t="s">
        <v>54</v>
      </c>
      <c r="D88" s="10">
        <f>_xlfn.XLOOKUP(E88,Nodes!$D:$D,Nodes!$A:$A)</f>
        <v>43</v>
      </c>
      <c r="E88" s="10" t="s">
        <v>55</v>
      </c>
      <c r="F88" s="1">
        <f t="shared" si="7"/>
        <v>125.507143494797</v>
      </c>
      <c r="G88" s="3">
        <f t="shared" si="6"/>
        <v>0.98752709764811</v>
      </c>
      <c r="H88" s="1" t="s">
        <v>85</v>
      </c>
      <c r="I88">
        <f>_xlfn.XLOOKUP(B88,Nodes!$A:$A,Nodes!$B:$B)</f>
        <v>47.26</v>
      </c>
      <c r="J88">
        <f>_xlfn.XLOOKUP(B88,Nodes!$A:$A,Nodes!$C:$C)</f>
        <v>11.394</v>
      </c>
      <c r="K88">
        <f>_xlfn.XLOOKUP(D88,Nodes!$A:$A,Nodes!$B:$B)</f>
        <v>47.414</v>
      </c>
      <c r="L88">
        <f>_xlfn.XLOOKUP(D88,Nodes!$A:$A,Nodes!$C:$C)</f>
        <v>9.744</v>
      </c>
    </row>
    <row r="89" spans="1:12">
      <c r="A89">
        <v>88</v>
      </c>
      <c r="B89">
        <f>_xlfn.XLOOKUP(C89,Nodes!$D:$D,Nodes!$A:$A)</f>
        <v>56</v>
      </c>
      <c r="C89" s="11" t="s">
        <v>69</v>
      </c>
      <c r="D89" s="12">
        <f>_xlfn.XLOOKUP(E89,Nodes!$D:$D,Nodes!$A:$A)</f>
        <v>52</v>
      </c>
      <c r="E89" s="11" t="s">
        <v>65</v>
      </c>
      <c r="F89" s="1">
        <f t="shared" ref="F89:F114" si="8">6371*2*ASIN(SQRT(SIN(RADIANS((K89-I89)/2))^2+COS(RADIANS(I89))*COS(RADIANS(K89))*SIN(RADIANS((L89-J89)/2))^2))</f>
        <v>107.961805478502</v>
      </c>
      <c r="G89" s="3">
        <f t="shared" si="6"/>
        <v>0.989261354996925</v>
      </c>
      <c r="H89" s="1" t="s">
        <v>85</v>
      </c>
      <c r="I89">
        <f>_xlfn.XLOOKUP(B89,Nodes!$A:$A,Nodes!$B:$B)</f>
        <v>48.14816</v>
      </c>
      <c r="J89">
        <f>_xlfn.XLOOKUP(B89,Nodes!$A:$A,Nodes!$C:$C)</f>
        <v>17.10674</v>
      </c>
      <c r="K89">
        <f>_xlfn.XLOOKUP(D89,Nodes!$A:$A,Nodes!$B:$B)</f>
        <v>48.89452</v>
      </c>
      <c r="L89">
        <f>_xlfn.XLOOKUP(D89,Nodes!$A:$A,Nodes!$C:$C)</f>
        <v>18.04436</v>
      </c>
    </row>
    <row r="90" spans="1:12">
      <c r="A90">
        <v>89</v>
      </c>
      <c r="B90">
        <f>_xlfn.XLOOKUP(C90,Nodes!$D:$D,Nodes!$A:$A)</f>
        <v>56</v>
      </c>
      <c r="C90" s="11" t="s">
        <v>69</v>
      </c>
      <c r="D90" s="12">
        <f>_xlfn.XLOOKUP(E90,Nodes!$D:$D,Nodes!$A:$A)</f>
        <v>51</v>
      </c>
      <c r="E90" s="11" t="s">
        <v>64</v>
      </c>
      <c r="F90" s="1">
        <f t="shared" si="8"/>
        <v>74.56791061243</v>
      </c>
      <c r="G90" s="3">
        <f t="shared" si="6"/>
        <v>0.992570571735308</v>
      </c>
      <c r="H90" s="1" t="s">
        <v>85</v>
      </c>
      <c r="I90">
        <f>_xlfn.XLOOKUP(B90,Nodes!$A:$A,Nodes!$B:$B)</f>
        <v>48.14816</v>
      </c>
      <c r="J90">
        <f>_xlfn.XLOOKUP(B90,Nodes!$A:$A,Nodes!$C:$C)</f>
        <v>17.10674</v>
      </c>
      <c r="K90">
        <f>_xlfn.XLOOKUP(D90,Nodes!$A:$A,Nodes!$B:$B)</f>
        <v>48.30763</v>
      </c>
      <c r="L90">
        <f>_xlfn.XLOOKUP(D90,Nodes!$A:$A,Nodes!$C:$C)</f>
        <v>18.08453</v>
      </c>
    </row>
    <row r="91" spans="1:12">
      <c r="A91">
        <v>90</v>
      </c>
      <c r="B91">
        <f>_xlfn.XLOOKUP(C91,Nodes!$D:$D,Nodes!$A:$A)</f>
        <v>56</v>
      </c>
      <c r="C91" s="11" t="s">
        <v>69</v>
      </c>
      <c r="D91" s="12">
        <f>_xlfn.XLOOKUP(E91,Nodes!$D:$D,Nodes!$A:$A)</f>
        <v>50</v>
      </c>
      <c r="E91" s="11" t="s">
        <v>63</v>
      </c>
      <c r="F91" s="1">
        <f t="shared" si="8"/>
        <v>80.4698761466917</v>
      </c>
      <c r="G91" s="3">
        <f t="shared" si="6"/>
        <v>0.99198490356761</v>
      </c>
      <c r="H91" s="1" t="s">
        <v>85</v>
      </c>
      <c r="I91">
        <f>_xlfn.XLOOKUP(B91,Nodes!$A:$A,Nodes!$B:$B)</f>
        <v>48.14816</v>
      </c>
      <c r="J91">
        <f>_xlfn.XLOOKUP(B91,Nodes!$A:$A,Nodes!$C:$C)</f>
        <v>17.10674</v>
      </c>
      <c r="K91">
        <f>_xlfn.XLOOKUP(D91,Nodes!$A:$A,Nodes!$B:$B)</f>
        <v>47.98544</v>
      </c>
      <c r="L91">
        <f>_xlfn.XLOOKUP(D91,Nodes!$A:$A,Nodes!$C:$C)</f>
        <v>18.16195</v>
      </c>
    </row>
    <row r="92" spans="1:12">
      <c r="A92">
        <v>91</v>
      </c>
      <c r="B92">
        <f>_xlfn.XLOOKUP(C92,Nodes!$D:$D,Nodes!$A:$A)</f>
        <v>56</v>
      </c>
      <c r="C92" s="11" t="s">
        <v>69</v>
      </c>
      <c r="D92" s="12">
        <f>_xlfn.XLOOKUP(E92,Nodes!$D:$D,Nodes!$A:$A)</f>
        <v>55</v>
      </c>
      <c r="E92" s="11" t="s">
        <v>68</v>
      </c>
      <c r="F92" s="1">
        <f t="shared" si="8"/>
        <v>164.161633383871</v>
      </c>
      <c r="G92" s="3">
        <f t="shared" si="6"/>
        <v>0.983717040056861</v>
      </c>
      <c r="H92" s="1" t="s">
        <v>85</v>
      </c>
      <c r="I92">
        <f>_xlfn.XLOOKUP(B92,Nodes!$A:$A,Nodes!$B:$B)</f>
        <v>48.14816</v>
      </c>
      <c r="J92">
        <f>_xlfn.XLOOKUP(B92,Nodes!$A:$A,Nodes!$C:$C)</f>
        <v>17.10674</v>
      </c>
      <c r="K92">
        <f>_xlfn.XLOOKUP(D92,Nodes!$A:$A,Nodes!$B:$B)</f>
        <v>48.73333</v>
      </c>
      <c r="L92">
        <f>_xlfn.XLOOKUP(D92,Nodes!$A:$A,Nodes!$C:$C)</f>
        <v>19.15</v>
      </c>
    </row>
    <row r="93" spans="1:12">
      <c r="A93">
        <v>92</v>
      </c>
      <c r="B93">
        <f>_xlfn.XLOOKUP(C93,Nodes!$D:$D,Nodes!$A:$A)</f>
        <v>52</v>
      </c>
      <c r="C93" s="11" t="s">
        <v>65</v>
      </c>
      <c r="D93" s="12">
        <f>_xlfn.XLOOKUP(E93,Nodes!$D:$D,Nodes!$A:$A)</f>
        <v>53</v>
      </c>
      <c r="E93" s="11" t="s">
        <v>66</v>
      </c>
      <c r="F93" s="1">
        <f t="shared" si="8"/>
        <v>45.3948956942364</v>
      </c>
      <c r="G93" s="3">
        <f t="shared" si="6"/>
        <v>0.995470572378675</v>
      </c>
      <c r="H93" s="1" t="s">
        <v>85</v>
      </c>
      <c r="I93">
        <f>_xlfn.XLOOKUP(B93,Nodes!$A:$A,Nodes!$B:$B)</f>
        <v>48.89452</v>
      </c>
      <c r="J93">
        <f>_xlfn.XLOOKUP(B93,Nodes!$A:$A,Nodes!$C:$C)</f>
        <v>18.04436</v>
      </c>
      <c r="K93">
        <f>_xlfn.XLOOKUP(D93,Nodes!$A:$A,Nodes!$B:$B)</f>
        <v>48.76667</v>
      </c>
      <c r="L93">
        <f>_xlfn.XLOOKUP(D93,Nodes!$A:$A,Nodes!$C:$C)</f>
        <v>18.63333</v>
      </c>
    </row>
    <row r="94" spans="1:12">
      <c r="A94">
        <v>93</v>
      </c>
      <c r="B94">
        <f>_xlfn.XLOOKUP(C94,Nodes!$D:$D,Nodes!$A:$A)</f>
        <v>52</v>
      </c>
      <c r="C94" s="11" t="s">
        <v>65</v>
      </c>
      <c r="D94" s="12">
        <f>_xlfn.XLOOKUP(E94,Nodes!$D:$D,Nodes!$A:$A)</f>
        <v>49</v>
      </c>
      <c r="E94" s="11" t="s">
        <v>62</v>
      </c>
      <c r="F94" s="1">
        <f t="shared" si="8"/>
        <v>62.450835319698</v>
      </c>
      <c r="G94" s="3">
        <f t="shared" si="6"/>
        <v>0.993774066140496</v>
      </c>
      <c r="H94" s="1" t="s">
        <v>85</v>
      </c>
      <c r="I94">
        <f>_xlfn.XLOOKUP(B94,Nodes!$A:$A,Nodes!$B:$B)</f>
        <v>48.89452</v>
      </c>
      <c r="J94">
        <f>_xlfn.XLOOKUP(B94,Nodes!$A:$A,Nodes!$C:$C)</f>
        <v>18.04436</v>
      </c>
      <c r="K94">
        <f>_xlfn.XLOOKUP(D94,Nodes!$A:$A,Nodes!$B:$B)</f>
        <v>49.22315</v>
      </c>
      <c r="L94">
        <f>_xlfn.XLOOKUP(D94,Nodes!$A:$A,Nodes!$C:$C)</f>
        <v>18.73941</v>
      </c>
    </row>
    <row r="95" spans="1:12">
      <c r="A95">
        <v>94</v>
      </c>
      <c r="B95">
        <f>_xlfn.XLOOKUP(C95,Nodes!$D:$D,Nodes!$A:$A)</f>
        <v>49</v>
      </c>
      <c r="C95" s="11" t="s">
        <v>62</v>
      </c>
      <c r="D95" s="12">
        <f>_xlfn.XLOOKUP(E95,Nodes!$D:$D,Nodes!$A:$A)</f>
        <v>55</v>
      </c>
      <c r="E95" s="11" t="s">
        <v>68</v>
      </c>
      <c r="F95" s="1">
        <f t="shared" si="8"/>
        <v>62.1643837648335</v>
      </c>
      <c r="G95" s="3">
        <f t="shared" si="6"/>
        <v>0.993802534784337</v>
      </c>
      <c r="H95" s="1" t="s">
        <v>85</v>
      </c>
      <c r="I95">
        <f>_xlfn.XLOOKUP(B95,Nodes!$A:$A,Nodes!$B:$B)</f>
        <v>49.22315</v>
      </c>
      <c r="J95">
        <f>_xlfn.XLOOKUP(B95,Nodes!$A:$A,Nodes!$C:$C)</f>
        <v>18.73941</v>
      </c>
      <c r="K95">
        <f>_xlfn.XLOOKUP(D95,Nodes!$A:$A,Nodes!$B:$B)</f>
        <v>48.73333</v>
      </c>
      <c r="L95">
        <f>_xlfn.XLOOKUP(D95,Nodes!$A:$A,Nodes!$C:$C)</f>
        <v>19.15</v>
      </c>
    </row>
    <row r="96" spans="1:12">
      <c r="A96">
        <v>95</v>
      </c>
      <c r="B96">
        <f>_xlfn.XLOOKUP(C96,Nodes!$D:$D,Nodes!$A:$A)</f>
        <v>49</v>
      </c>
      <c r="C96" s="11" t="s">
        <v>62</v>
      </c>
      <c r="D96" s="12">
        <f>_xlfn.XLOOKUP(E96,Nodes!$D:$D,Nodes!$A:$A)</f>
        <v>54</v>
      </c>
      <c r="E96" s="11" t="s">
        <v>67</v>
      </c>
      <c r="F96" s="1">
        <f t="shared" si="8"/>
        <v>115.151988335306</v>
      </c>
      <c r="G96" s="3">
        <f t="shared" si="6"/>
        <v>0.988550278108207</v>
      </c>
      <c r="H96" s="1" t="s">
        <v>85</v>
      </c>
      <c r="I96">
        <f>_xlfn.XLOOKUP(B96,Nodes!$A:$A,Nodes!$B:$B)</f>
        <v>49.22315</v>
      </c>
      <c r="J96">
        <f>_xlfn.XLOOKUP(B96,Nodes!$A:$A,Nodes!$C:$C)</f>
        <v>18.73941</v>
      </c>
      <c r="K96">
        <f>_xlfn.XLOOKUP(D96,Nodes!$A:$A,Nodes!$B:$B)</f>
        <v>49.05</v>
      </c>
      <c r="L96">
        <f>_xlfn.XLOOKUP(D96,Nodes!$A:$A,Nodes!$C:$C)</f>
        <v>20.3</v>
      </c>
    </row>
    <row r="97" spans="1:12">
      <c r="A97">
        <v>96</v>
      </c>
      <c r="B97">
        <f>_xlfn.XLOOKUP(C97,Nodes!$D:$D,Nodes!$A:$A)</f>
        <v>53</v>
      </c>
      <c r="C97" s="11" t="s">
        <v>66</v>
      </c>
      <c r="D97" s="12">
        <f>_xlfn.XLOOKUP(E97,Nodes!$D:$D,Nodes!$A:$A)</f>
        <v>48</v>
      </c>
      <c r="E97" s="11" t="s">
        <v>60</v>
      </c>
      <c r="F97" s="1">
        <f t="shared" si="8"/>
        <v>41.9930467247874</v>
      </c>
      <c r="G97" s="3">
        <f t="shared" si="6"/>
        <v>0.995809290979173</v>
      </c>
      <c r="H97" s="1" t="s">
        <v>85</v>
      </c>
      <c r="I97">
        <f>_xlfn.XLOOKUP(B97,Nodes!$A:$A,Nodes!$B:$B)</f>
        <v>48.76667</v>
      </c>
      <c r="J97">
        <f>_xlfn.XLOOKUP(B97,Nodes!$A:$A,Nodes!$C:$C)</f>
        <v>18.63333</v>
      </c>
      <c r="K97">
        <f>_xlfn.XLOOKUP(D97,Nodes!$A:$A,Nodes!$B:$B)</f>
        <v>48.58333</v>
      </c>
      <c r="L97">
        <f>_xlfn.XLOOKUP(D97,Nodes!$A:$A,Nodes!$C:$C)</f>
        <v>19.13333</v>
      </c>
    </row>
    <row r="98" spans="1:12">
      <c r="A98">
        <v>97</v>
      </c>
      <c r="B98">
        <f>_xlfn.XLOOKUP(C98,Nodes!$D:$D,Nodes!$A:$A)</f>
        <v>53</v>
      </c>
      <c r="C98" s="11" t="s">
        <v>66</v>
      </c>
      <c r="D98" s="12">
        <f>_xlfn.XLOOKUP(E98,Nodes!$D:$D,Nodes!$A:$A)</f>
        <v>55</v>
      </c>
      <c r="E98" s="11" t="s">
        <v>68</v>
      </c>
      <c r="F98" s="1">
        <f t="shared" si="8"/>
        <v>38.0610332032965</v>
      </c>
      <c r="G98" s="3">
        <f t="shared" si="6"/>
        <v>0.996200941115337</v>
      </c>
      <c r="H98" s="1" t="s">
        <v>85</v>
      </c>
      <c r="I98">
        <f>_xlfn.XLOOKUP(B98,Nodes!$A:$A,Nodes!$B:$B)</f>
        <v>48.76667</v>
      </c>
      <c r="J98">
        <f>_xlfn.XLOOKUP(B98,Nodes!$A:$A,Nodes!$C:$C)</f>
        <v>18.63333</v>
      </c>
      <c r="K98">
        <f>_xlfn.XLOOKUP(D98,Nodes!$A:$A,Nodes!$B:$B)</f>
        <v>48.73333</v>
      </c>
      <c r="L98">
        <f>_xlfn.XLOOKUP(D98,Nodes!$A:$A,Nodes!$C:$C)</f>
        <v>19.15</v>
      </c>
    </row>
    <row r="99" spans="1:12">
      <c r="A99">
        <v>98</v>
      </c>
      <c r="B99">
        <f>_xlfn.XLOOKUP(C99,Nodes!$D:$D,Nodes!$A:$A)</f>
        <v>51</v>
      </c>
      <c r="C99" s="11" t="s">
        <v>64</v>
      </c>
      <c r="D99" s="12">
        <f>_xlfn.XLOOKUP(E99,Nodes!$D:$D,Nodes!$A:$A)</f>
        <v>48</v>
      </c>
      <c r="E99" s="11" t="s">
        <v>60</v>
      </c>
      <c r="F99" s="1">
        <f t="shared" si="8"/>
        <v>83.2107487610652</v>
      </c>
      <c r="G99" s="3">
        <f t="shared" si="6"/>
        <v>0.991713036807749</v>
      </c>
      <c r="H99" s="1" t="s">
        <v>85</v>
      </c>
      <c r="I99">
        <f>_xlfn.XLOOKUP(B99,Nodes!$A:$A,Nodes!$B:$B)</f>
        <v>48.30763</v>
      </c>
      <c r="J99">
        <f>_xlfn.XLOOKUP(B99,Nodes!$A:$A,Nodes!$C:$C)</f>
        <v>18.08453</v>
      </c>
      <c r="K99">
        <f>_xlfn.XLOOKUP(D99,Nodes!$A:$A,Nodes!$B:$B)</f>
        <v>48.58333</v>
      </c>
      <c r="L99">
        <f>_xlfn.XLOOKUP(D99,Nodes!$A:$A,Nodes!$C:$C)</f>
        <v>19.13333</v>
      </c>
    </row>
    <row r="100" spans="1:12">
      <c r="A100">
        <v>99</v>
      </c>
      <c r="B100">
        <f>_xlfn.XLOOKUP(C100,Nodes!$D:$D,Nodes!$A:$A)</f>
        <v>51</v>
      </c>
      <c r="C100" s="11" t="s">
        <v>64</v>
      </c>
      <c r="D100" s="12">
        <f>_xlfn.XLOOKUP(E100,Nodes!$D:$D,Nodes!$A:$A)</f>
        <v>50</v>
      </c>
      <c r="E100" s="11" t="s">
        <v>63</v>
      </c>
      <c r="F100" s="1">
        <f t="shared" si="8"/>
        <v>36.2834319436952</v>
      </c>
      <c r="G100" s="3">
        <f t="shared" si="6"/>
        <v>0.996378050516758</v>
      </c>
      <c r="H100" s="1" t="s">
        <v>85</v>
      </c>
      <c r="I100">
        <f>_xlfn.XLOOKUP(B100,Nodes!$A:$A,Nodes!$B:$B)</f>
        <v>48.30763</v>
      </c>
      <c r="J100">
        <f>_xlfn.XLOOKUP(B100,Nodes!$A:$A,Nodes!$C:$C)</f>
        <v>18.08453</v>
      </c>
      <c r="K100">
        <f>_xlfn.XLOOKUP(D100,Nodes!$A:$A,Nodes!$B:$B)</f>
        <v>47.98544</v>
      </c>
      <c r="L100">
        <f>_xlfn.XLOOKUP(D100,Nodes!$A:$A,Nodes!$C:$C)</f>
        <v>18.16195</v>
      </c>
    </row>
    <row r="101" spans="1:12">
      <c r="A101">
        <v>100</v>
      </c>
      <c r="B101">
        <f>_xlfn.XLOOKUP(C101,Nodes!$D:$D,Nodes!$A:$A)</f>
        <v>50</v>
      </c>
      <c r="C101" s="11" t="s">
        <v>63</v>
      </c>
      <c r="D101" s="12">
        <f>_xlfn.XLOOKUP(E101,Nodes!$D:$D,Nodes!$A:$A)</f>
        <v>48</v>
      </c>
      <c r="E101" s="11" t="s">
        <v>60</v>
      </c>
      <c r="F101" s="1">
        <f t="shared" si="8"/>
        <v>97.9063364996722</v>
      </c>
      <c r="G101" s="3">
        <f t="shared" si="6"/>
        <v>0.990256653775337</v>
      </c>
      <c r="H101" s="1" t="s">
        <v>85</v>
      </c>
      <c r="I101">
        <f>_xlfn.XLOOKUP(B101,Nodes!$A:$A,Nodes!$B:$B)</f>
        <v>47.98544</v>
      </c>
      <c r="J101">
        <f>_xlfn.XLOOKUP(B101,Nodes!$A:$A,Nodes!$C:$C)</f>
        <v>18.16195</v>
      </c>
      <c r="K101">
        <f>_xlfn.XLOOKUP(D101,Nodes!$A:$A,Nodes!$B:$B)</f>
        <v>48.58333</v>
      </c>
      <c r="L101">
        <f>_xlfn.XLOOKUP(D101,Nodes!$A:$A,Nodes!$C:$C)</f>
        <v>19.13333</v>
      </c>
    </row>
    <row r="102" spans="1:12">
      <c r="A102">
        <v>101</v>
      </c>
      <c r="B102">
        <f>_xlfn.XLOOKUP(C102,Nodes!$D:$D,Nodes!$A:$A)</f>
        <v>55</v>
      </c>
      <c r="C102" s="11" t="s">
        <v>68</v>
      </c>
      <c r="D102" s="12">
        <f>_xlfn.XLOOKUP(E102,Nodes!$D:$D,Nodes!$A:$A)</f>
        <v>54</v>
      </c>
      <c r="E102" s="11" t="s">
        <v>67</v>
      </c>
      <c r="F102" s="1">
        <f t="shared" si="8"/>
        <v>91.150035665165</v>
      </c>
      <c r="G102" s="3">
        <f t="shared" si="6"/>
        <v>0.990925960503278</v>
      </c>
      <c r="H102" s="1" t="s">
        <v>85</v>
      </c>
      <c r="I102">
        <f>_xlfn.XLOOKUP(B102,Nodes!$A:$A,Nodes!$B:$B)</f>
        <v>48.73333</v>
      </c>
      <c r="J102">
        <f>_xlfn.XLOOKUP(B102,Nodes!$A:$A,Nodes!$C:$C)</f>
        <v>19.15</v>
      </c>
      <c r="K102">
        <f>_xlfn.XLOOKUP(D102,Nodes!$A:$A,Nodes!$B:$B)</f>
        <v>49.05</v>
      </c>
      <c r="L102">
        <f>_xlfn.XLOOKUP(D102,Nodes!$A:$A,Nodes!$C:$C)</f>
        <v>20.3</v>
      </c>
    </row>
    <row r="103" spans="1:12">
      <c r="A103">
        <v>102</v>
      </c>
      <c r="B103">
        <f>_xlfn.XLOOKUP(C103,Nodes!$D:$D,Nodes!$A:$A)</f>
        <v>55</v>
      </c>
      <c r="C103" s="11" t="s">
        <v>68</v>
      </c>
      <c r="D103" s="12">
        <f>_xlfn.XLOOKUP(E103,Nodes!$D:$D,Nodes!$A:$A)</f>
        <v>57</v>
      </c>
      <c r="E103" s="11" t="s">
        <v>70</v>
      </c>
      <c r="F103" s="1">
        <f t="shared" si="8"/>
        <v>154.046264855709</v>
      </c>
      <c r="G103" s="3">
        <f t="shared" si="6"/>
        <v>0.984712659345318</v>
      </c>
      <c r="H103" s="1" t="s">
        <v>85</v>
      </c>
      <c r="I103">
        <f>_xlfn.XLOOKUP(B103,Nodes!$A:$A,Nodes!$B:$B)</f>
        <v>48.73333</v>
      </c>
      <c r="J103">
        <f>_xlfn.XLOOKUP(B103,Nodes!$A:$A,Nodes!$C:$C)</f>
        <v>19.15</v>
      </c>
      <c r="K103">
        <f>_xlfn.XLOOKUP(D103,Nodes!$A:$A,Nodes!$B:$B)</f>
        <v>48.71667</v>
      </c>
      <c r="L103">
        <f>_xlfn.XLOOKUP(D103,Nodes!$A:$A,Nodes!$C:$C)</f>
        <v>21.25</v>
      </c>
    </row>
    <row r="104" spans="1:12">
      <c r="A104">
        <v>103</v>
      </c>
      <c r="B104">
        <f>_xlfn.XLOOKUP(C104,Nodes!$D:$D,Nodes!$A:$A)</f>
        <v>54</v>
      </c>
      <c r="C104" s="11" t="s">
        <v>67</v>
      </c>
      <c r="D104" s="12">
        <f>_xlfn.XLOOKUP(E104,Nodes!$D:$D,Nodes!$A:$A)</f>
        <v>57</v>
      </c>
      <c r="E104" s="11" t="s">
        <v>70</v>
      </c>
      <c r="F104" s="1">
        <f t="shared" si="8"/>
        <v>78.7340810033837</v>
      </c>
      <c r="G104" s="3">
        <f t="shared" si="6"/>
        <v>0.992157115381918</v>
      </c>
      <c r="H104" s="1" t="s">
        <v>85</v>
      </c>
      <c r="I104">
        <f>_xlfn.XLOOKUP(B104,Nodes!$A:$A,Nodes!$B:$B)</f>
        <v>49.05</v>
      </c>
      <c r="J104">
        <f>_xlfn.XLOOKUP(B104,Nodes!$A:$A,Nodes!$C:$C)</f>
        <v>20.3</v>
      </c>
      <c r="K104">
        <f>_xlfn.XLOOKUP(D104,Nodes!$A:$A,Nodes!$B:$B)</f>
        <v>48.71667</v>
      </c>
      <c r="L104">
        <f>_xlfn.XLOOKUP(D104,Nodes!$A:$A,Nodes!$C:$C)</f>
        <v>21.25</v>
      </c>
    </row>
    <row r="105" spans="1:12">
      <c r="A105">
        <v>104</v>
      </c>
      <c r="B105">
        <f>_xlfn.XLOOKUP(C105,Nodes!$D:$D,Nodes!$A:$A)</f>
        <v>54</v>
      </c>
      <c r="C105" s="11" t="s">
        <v>67</v>
      </c>
      <c r="D105" s="12">
        <f>_xlfn.XLOOKUP(E105,Nodes!$D:$D,Nodes!$A:$A)</f>
        <v>58</v>
      </c>
      <c r="E105" s="11" t="s">
        <v>71</v>
      </c>
      <c r="F105" s="1">
        <f t="shared" si="8"/>
        <v>69.4904253044279</v>
      </c>
      <c r="G105" s="3">
        <f t="shared" ref="G105:G123" si="9">(0.9999)^F105</f>
        <v>0.993074701166372</v>
      </c>
      <c r="H105" s="1" t="s">
        <v>85</v>
      </c>
      <c r="I105">
        <f>_xlfn.XLOOKUP(B105,Nodes!$A:$A,Nodes!$B:$B)</f>
        <v>49.05</v>
      </c>
      <c r="J105">
        <f>_xlfn.XLOOKUP(B105,Nodes!$A:$A,Nodes!$C:$C)</f>
        <v>20.3</v>
      </c>
      <c r="K105">
        <f>_xlfn.XLOOKUP(D105,Nodes!$A:$A,Nodes!$B:$B)</f>
        <v>49</v>
      </c>
      <c r="L105">
        <f>_xlfn.XLOOKUP(D105,Nodes!$A:$A,Nodes!$C:$C)</f>
        <v>21.25</v>
      </c>
    </row>
    <row r="106" spans="1:12">
      <c r="A106">
        <v>105</v>
      </c>
      <c r="B106">
        <f>_xlfn.XLOOKUP(C106,Nodes!$D:$D,Nodes!$A:$A)</f>
        <v>57</v>
      </c>
      <c r="C106" s="11" t="s">
        <v>70</v>
      </c>
      <c r="D106" s="12">
        <f>_xlfn.XLOOKUP(E106,Nodes!$D:$D,Nodes!$A:$A)</f>
        <v>58</v>
      </c>
      <c r="E106" s="11" t="s">
        <v>71</v>
      </c>
      <c r="F106" s="1">
        <f t="shared" si="8"/>
        <v>31.5048585662028</v>
      </c>
      <c r="G106" s="3">
        <f t="shared" si="9"/>
        <v>0.996854314677073</v>
      </c>
      <c r="H106" s="1" t="s">
        <v>85</v>
      </c>
      <c r="I106">
        <f>_xlfn.XLOOKUP(B106,Nodes!$A:$A,Nodes!$B:$B)</f>
        <v>48.71667</v>
      </c>
      <c r="J106">
        <f>_xlfn.XLOOKUP(B106,Nodes!$A:$A,Nodes!$C:$C)</f>
        <v>21.25</v>
      </c>
      <c r="K106">
        <f>_xlfn.XLOOKUP(D106,Nodes!$A:$A,Nodes!$B:$B)</f>
        <v>49</v>
      </c>
      <c r="L106">
        <f>_xlfn.XLOOKUP(D106,Nodes!$A:$A,Nodes!$C:$C)</f>
        <v>21.25</v>
      </c>
    </row>
    <row r="107" spans="1:12">
      <c r="A107">
        <v>106</v>
      </c>
      <c r="B107">
        <f>_xlfn.XLOOKUP(C107,Nodes!$D:$D,Nodes!$A:$A)</f>
        <v>58</v>
      </c>
      <c r="C107" s="11" t="s">
        <v>71</v>
      </c>
      <c r="D107" s="12">
        <f>_xlfn.XLOOKUP(E107,Nodes!$D:$D,Nodes!$A:$A)</f>
        <v>59</v>
      </c>
      <c r="E107" s="11" t="s">
        <v>72</v>
      </c>
      <c r="F107" s="1">
        <f t="shared" si="8"/>
        <v>57.1852670678722</v>
      </c>
      <c r="G107" s="3">
        <f t="shared" si="9"/>
        <v>0.994297508629285</v>
      </c>
      <c r="H107" s="1" t="s">
        <v>85</v>
      </c>
      <c r="I107">
        <f>_xlfn.XLOOKUP(B107,Nodes!$A:$A,Nodes!$B:$B)</f>
        <v>49</v>
      </c>
      <c r="J107">
        <f>_xlfn.XLOOKUP(B107,Nodes!$A:$A,Nodes!$C:$C)</f>
        <v>21.25</v>
      </c>
      <c r="K107">
        <f>_xlfn.XLOOKUP(D107,Nodes!$A:$A,Nodes!$B:$B)</f>
        <v>48.75</v>
      </c>
      <c r="L107">
        <f>_xlfn.XLOOKUP(D107,Nodes!$A:$A,Nodes!$C:$C)</f>
        <v>21.93333</v>
      </c>
    </row>
    <row r="108" spans="1:12">
      <c r="A108">
        <v>107</v>
      </c>
      <c r="B108">
        <f>_xlfn.XLOOKUP(C108,Nodes!$D:$D,Nodes!$A:$A)</f>
        <v>59</v>
      </c>
      <c r="C108" s="11" t="s">
        <v>72</v>
      </c>
      <c r="D108" s="12">
        <f>_xlfn.XLOOKUP(E108,Nodes!$D:$D,Nodes!$A:$A)</f>
        <v>57</v>
      </c>
      <c r="E108" s="11" t="s">
        <v>70</v>
      </c>
      <c r="F108" s="1">
        <f t="shared" si="8"/>
        <v>50.2522535933085</v>
      </c>
      <c r="G108" s="3">
        <f t="shared" si="9"/>
        <v>0.994987129943499</v>
      </c>
      <c r="H108" s="1" t="s">
        <v>85</v>
      </c>
      <c r="I108">
        <f>_xlfn.XLOOKUP(B108,Nodes!$A:$A,Nodes!$B:$B)</f>
        <v>48.75</v>
      </c>
      <c r="J108">
        <f>_xlfn.XLOOKUP(B108,Nodes!$A:$A,Nodes!$C:$C)</f>
        <v>21.93333</v>
      </c>
      <c r="K108">
        <f>_xlfn.XLOOKUP(D108,Nodes!$A:$A,Nodes!$B:$B)</f>
        <v>48.71667</v>
      </c>
      <c r="L108">
        <f>_xlfn.XLOOKUP(D108,Nodes!$A:$A,Nodes!$C:$C)</f>
        <v>21.25</v>
      </c>
    </row>
    <row r="109" spans="1:12">
      <c r="A109">
        <v>108</v>
      </c>
      <c r="B109">
        <f>_xlfn.XLOOKUP(C109,Nodes!$D:$D,Nodes!$A:$A)</f>
        <v>48</v>
      </c>
      <c r="C109" s="11" t="s">
        <v>60</v>
      </c>
      <c r="D109" s="12">
        <f>_xlfn.XLOOKUP(E109,Nodes!$D:$D,Nodes!$A:$A)</f>
        <v>55</v>
      </c>
      <c r="E109" s="11" t="s">
        <v>68</v>
      </c>
      <c r="F109" s="1">
        <f t="shared" si="8"/>
        <v>16.7241195697511</v>
      </c>
      <c r="G109" s="3">
        <f t="shared" si="9"/>
        <v>0.998328902258187</v>
      </c>
      <c r="H109" s="1" t="s">
        <v>85</v>
      </c>
      <c r="I109">
        <f>_xlfn.XLOOKUP(B109,Nodes!$A:$A,Nodes!$B:$B)</f>
        <v>48.58333</v>
      </c>
      <c r="J109">
        <f>_xlfn.XLOOKUP(B109,Nodes!$A:$A,Nodes!$C:$C)</f>
        <v>19.13333</v>
      </c>
      <c r="K109">
        <f>_xlfn.XLOOKUP(D109,Nodes!$A:$A,Nodes!$B:$B)</f>
        <v>48.73333</v>
      </c>
      <c r="L109">
        <f>_xlfn.XLOOKUP(D109,Nodes!$A:$A,Nodes!$C:$C)</f>
        <v>19.15</v>
      </c>
    </row>
    <row r="110" spans="1:12">
      <c r="A110">
        <v>109</v>
      </c>
      <c r="B110">
        <f>_xlfn.XLOOKUP(C110,Nodes!$D:$D,Nodes!$A:$A)</f>
        <v>6</v>
      </c>
      <c r="C110" s="1" t="s">
        <v>15</v>
      </c>
      <c r="D110" s="13">
        <f>_xlfn.XLOOKUP(E110,Nodes!$D:$D,Nodes!$A:$A)</f>
        <v>25</v>
      </c>
      <c r="E110" s="8" t="s">
        <v>35</v>
      </c>
      <c r="F110" s="1">
        <f t="shared" si="8"/>
        <v>242.053136172592</v>
      </c>
      <c r="G110" s="3">
        <f t="shared" si="9"/>
        <v>0.976084104182405</v>
      </c>
      <c r="H110" s="1" t="s">
        <v>85</v>
      </c>
      <c r="I110">
        <f>_xlfn.XLOOKUP(B110,Nodes!$A:$A,Nodes!$B:$B)</f>
        <v>52.52</v>
      </c>
      <c r="J110">
        <f>_xlfn.XLOOKUP(B110,Nodes!$A:$A,Nodes!$C:$C)</f>
        <v>13.4</v>
      </c>
      <c r="K110">
        <f>_xlfn.XLOOKUP(D110,Nodes!$A:$A,Nodes!$B:$B)</f>
        <v>52.42</v>
      </c>
      <c r="L110">
        <f>_xlfn.XLOOKUP(D110,Nodes!$A:$A,Nodes!$C:$C)</f>
        <v>16.97</v>
      </c>
    </row>
    <row r="111" spans="1:12">
      <c r="A111">
        <v>110</v>
      </c>
      <c r="B111">
        <f>_xlfn.XLOOKUP(C111,Nodes!$D:$D,Nodes!$A:$A)</f>
        <v>6</v>
      </c>
      <c r="C111" s="1" t="s">
        <v>15</v>
      </c>
      <c r="D111" s="13">
        <f>_xlfn.XLOOKUP(E111,Nodes!$D:$D,Nodes!$A:$A)</f>
        <v>26</v>
      </c>
      <c r="E111" s="8" t="s">
        <v>36</v>
      </c>
      <c r="F111" s="1">
        <f t="shared" si="8"/>
        <v>127.150125292168</v>
      </c>
      <c r="G111" s="3">
        <f t="shared" si="9"/>
        <v>0.987364853959741</v>
      </c>
      <c r="H111" s="1" t="s">
        <v>85</v>
      </c>
      <c r="I111">
        <f>_xlfn.XLOOKUP(B111,Nodes!$A:$A,Nodes!$B:$B)</f>
        <v>52.52</v>
      </c>
      <c r="J111">
        <f>_xlfn.XLOOKUP(B111,Nodes!$A:$A,Nodes!$C:$C)</f>
        <v>13.4</v>
      </c>
      <c r="K111">
        <f>_xlfn.XLOOKUP(D111,Nodes!$A:$A,Nodes!$B:$B)</f>
        <v>53.43</v>
      </c>
      <c r="L111">
        <f>_xlfn.XLOOKUP(D111,Nodes!$A:$A,Nodes!$C:$C)</f>
        <v>14.55</v>
      </c>
    </row>
    <row r="112" spans="1:12">
      <c r="A112">
        <v>111</v>
      </c>
      <c r="B112">
        <f>_xlfn.XLOOKUP(C112,Nodes!$D:$D,Nodes!$A:$A)</f>
        <v>18</v>
      </c>
      <c r="C112" s="8" t="s">
        <v>27</v>
      </c>
      <c r="D112" s="13">
        <f>_xlfn.XLOOKUP(E112,Nodes!$D:$D,Nodes!$A:$A)</f>
        <v>28</v>
      </c>
      <c r="E112" s="8" t="s">
        <v>38</v>
      </c>
      <c r="F112" s="1">
        <f t="shared" si="8"/>
        <v>230.087299661418</v>
      </c>
      <c r="G112" s="3">
        <f t="shared" si="9"/>
        <v>0.977252827999199</v>
      </c>
      <c r="H112" s="1" t="s">
        <v>85</v>
      </c>
      <c r="I112">
        <f>_xlfn.XLOOKUP(B112,Nodes!$A:$A,Nodes!$B:$B)</f>
        <v>51.0504</v>
      </c>
      <c r="J112">
        <f>_xlfn.XLOOKUP(B112,Nodes!$A:$A,Nodes!$C:$C)</f>
        <v>13.7373</v>
      </c>
      <c r="K112">
        <f>_xlfn.XLOOKUP(D112,Nodes!$A:$A,Nodes!$B:$B)</f>
        <v>51.1</v>
      </c>
      <c r="L112">
        <f>_xlfn.XLOOKUP(D112,Nodes!$A:$A,Nodes!$C:$C)</f>
        <v>17.03</v>
      </c>
    </row>
    <row r="113" spans="1:12">
      <c r="A113">
        <v>112</v>
      </c>
      <c r="B113">
        <f>_xlfn.XLOOKUP(C113,Nodes!$D:$D,Nodes!$A:$A)</f>
        <v>18</v>
      </c>
      <c r="C113" s="8" t="s">
        <v>27</v>
      </c>
      <c r="D113" s="13">
        <f>_xlfn.XLOOKUP(E113,Nodes!$D:$D,Nodes!$A:$A)</f>
        <v>38</v>
      </c>
      <c r="E113" s="13" t="s">
        <v>49</v>
      </c>
      <c r="F113" s="1">
        <f t="shared" si="8"/>
        <v>48.027158582372</v>
      </c>
      <c r="G113" s="3">
        <f t="shared" si="9"/>
        <v>0.995208559739255</v>
      </c>
      <c r="H113" s="1" t="s">
        <v>85</v>
      </c>
      <c r="I113">
        <f>_xlfn.XLOOKUP(B113,Nodes!$A:$A,Nodes!$B:$B)</f>
        <v>51.0504</v>
      </c>
      <c r="J113">
        <f>_xlfn.XLOOKUP(B113,Nodes!$A:$A,Nodes!$C:$C)</f>
        <v>13.7373</v>
      </c>
      <c r="K113">
        <f>_xlfn.XLOOKUP(D113,Nodes!$A:$A,Nodes!$B:$B)</f>
        <v>50.66</v>
      </c>
      <c r="L113">
        <f>_xlfn.XLOOKUP(D113,Nodes!$A:$A,Nodes!$C:$C)</f>
        <v>14.03</v>
      </c>
    </row>
    <row r="114" spans="1:12">
      <c r="A114">
        <v>113</v>
      </c>
      <c r="B114">
        <f>_xlfn.XLOOKUP(C114,Nodes!$D:$D,Nodes!$A:$A)</f>
        <v>9</v>
      </c>
      <c r="C114" s="1" t="s">
        <v>18</v>
      </c>
      <c r="D114" s="13">
        <f>_xlfn.XLOOKUP(E114,Nodes!$D:$D,Nodes!$A:$A)</f>
        <v>32</v>
      </c>
      <c r="E114" s="13" t="s">
        <v>43</v>
      </c>
      <c r="F114" s="1">
        <f t="shared" si="8"/>
        <v>154.912621172517</v>
      </c>
      <c r="G114" s="3">
        <f t="shared" si="9"/>
        <v>0.984627347571965</v>
      </c>
      <c r="H114" s="1" t="s">
        <v>85</v>
      </c>
      <c r="I114">
        <f>_xlfn.XLOOKUP(B114,Nodes!$A:$A,Nodes!$B:$B)</f>
        <v>49.45</v>
      </c>
      <c r="J114">
        <f>_xlfn.XLOOKUP(B114,Nodes!$A:$A,Nodes!$C:$C)</f>
        <v>11.08</v>
      </c>
      <c r="K114">
        <f>_xlfn.XLOOKUP(D114,Nodes!$A:$A,Nodes!$B:$B)</f>
        <v>50.23</v>
      </c>
      <c r="L114">
        <f>_xlfn.XLOOKUP(D114,Nodes!$A:$A,Nodes!$C:$C)</f>
        <v>12.87</v>
      </c>
    </row>
    <row r="115" spans="1:12">
      <c r="A115">
        <v>114</v>
      </c>
      <c r="B115">
        <f>_xlfn.XLOOKUP(C115,Nodes!$D:$D,Nodes!$A:$A)</f>
        <v>7</v>
      </c>
      <c r="C115" s="1" t="s">
        <v>16</v>
      </c>
      <c r="D115" s="13">
        <f>_xlfn.XLOOKUP(E115,Nodes!$D:$D,Nodes!$A:$A)</f>
        <v>31</v>
      </c>
      <c r="E115" s="13" t="s">
        <v>42</v>
      </c>
      <c r="F115" s="1">
        <f t="shared" ref="F115:F124" si="10">6371*2*ASIN(SQRT(SIN(RADIANS((K115-I115)/2))^2+COS(RADIANS(I115))*COS(RADIANS(K115))*SIN(RADIANS((L115-J115)/2))^2))</f>
        <v>232.98173579316</v>
      </c>
      <c r="G115" s="3">
        <f t="shared" si="9"/>
        <v>0.976969995201851</v>
      </c>
      <c r="H115" s="1" t="s">
        <v>85</v>
      </c>
      <c r="I115">
        <f>_xlfn.XLOOKUP(B115,Nodes!$A:$A,Nodes!$B:$B)</f>
        <v>48.13</v>
      </c>
      <c r="J115">
        <f>_xlfn.XLOOKUP(B115,Nodes!$A:$A,Nodes!$C:$C)</f>
        <v>11.57</v>
      </c>
      <c r="K115">
        <f>_xlfn.XLOOKUP(D115,Nodes!$A:$A,Nodes!$B:$B)</f>
        <v>48.97</v>
      </c>
      <c r="L115">
        <f>_xlfn.XLOOKUP(D115,Nodes!$A:$A,Nodes!$C:$C)</f>
        <v>14.47</v>
      </c>
    </row>
    <row r="116" spans="1:12">
      <c r="A116">
        <v>115</v>
      </c>
      <c r="B116">
        <f>_xlfn.XLOOKUP(C116,Nodes!$D:$D,Nodes!$A:$A)</f>
        <v>7</v>
      </c>
      <c r="C116" s="1" t="s">
        <v>16</v>
      </c>
      <c r="D116" s="13">
        <f>_xlfn.XLOOKUP(E116,Nodes!$D:$D,Nodes!$A:$A)</f>
        <v>41</v>
      </c>
      <c r="E116" s="13" t="s">
        <v>53</v>
      </c>
      <c r="F116" s="1">
        <f t="shared" si="10"/>
        <v>115.715539529282</v>
      </c>
      <c r="G116" s="3">
        <f t="shared" si="9"/>
        <v>0.98849456702347</v>
      </c>
      <c r="H116" s="1" t="s">
        <v>85</v>
      </c>
      <c r="I116">
        <f>_xlfn.XLOOKUP(B116,Nodes!$A:$A,Nodes!$B:$B)</f>
        <v>48.13</v>
      </c>
      <c r="J116">
        <f>_xlfn.XLOOKUP(B116,Nodes!$A:$A,Nodes!$C:$C)</f>
        <v>11.57</v>
      </c>
      <c r="K116">
        <f>_xlfn.XLOOKUP(D116,Nodes!$A:$A,Nodes!$B:$B)</f>
        <v>47.8</v>
      </c>
      <c r="L116">
        <f>_xlfn.XLOOKUP(D116,Nodes!$A:$A,Nodes!$C:$C)</f>
        <v>13.044</v>
      </c>
    </row>
    <row r="117" spans="1:12">
      <c r="A117">
        <v>116</v>
      </c>
      <c r="B117">
        <f>_xlfn.XLOOKUP(C117,Nodes!$D:$D,Nodes!$A:$A)</f>
        <v>28</v>
      </c>
      <c r="C117" s="8" t="s">
        <v>38</v>
      </c>
      <c r="D117" s="13">
        <f>_xlfn.XLOOKUP(E117,Nodes!$D:$D,Nodes!$A:$A)</f>
        <v>33</v>
      </c>
      <c r="E117" s="13" t="s">
        <v>44</v>
      </c>
      <c r="F117" s="1">
        <f t="shared" si="10"/>
        <v>142.836802890641</v>
      </c>
      <c r="G117" s="3">
        <f t="shared" si="9"/>
        <v>0.985817143398529</v>
      </c>
      <c r="H117" s="1" t="s">
        <v>85</v>
      </c>
      <c r="I117">
        <f>_xlfn.XLOOKUP(B117,Nodes!$A:$A,Nodes!$B:$B)</f>
        <v>51.1</v>
      </c>
      <c r="J117">
        <f>_xlfn.XLOOKUP(B117,Nodes!$A:$A,Nodes!$C:$C)</f>
        <v>17.03</v>
      </c>
      <c r="K117">
        <f>_xlfn.XLOOKUP(D117,Nodes!$A:$A,Nodes!$B:$B)</f>
        <v>50.77</v>
      </c>
      <c r="L117">
        <f>_xlfn.XLOOKUP(D117,Nodes!$A:$A,Nodes!$C:$C)</f>
        <v>15.06</v>
      </c>
    </row>
    <row r="118" spans="1:12">
      <c r="A118">
        <v>117</v>
      </c>
      <c r="B118">
        <f>_xlfn.XLOOKUP(C118,Nodes!$D:$D,Nodes!$A:$A)</f>
        <v>22</v>
      </c>
      <c r="C118" s="8" t="s">
        <v>32</v>
      </c>
      <c r="D118" s="13">
        <f>_xlfn.XLOOKUP(E118,Nodes!$D:$D,Nodes!$A:$A)</f>
        <v>35</v>
      </c>
      <c r="E118" s="13" t="s">
        <v>46</v>
      </c>
      <c r="F118" s="1">
        <f t="shared" si="10"/>
        <v>120.573695334479</v>
      </c>
      <c r="G118" s="3">
        <f t="shared" si="9"/>
        <v>0.988014433592074</v>
      </c>
      <c r="H118" s="1" t="s">
        <v>85</v>
      </c>
      <c r="I118">
        <f>_xlfn.XLOOKUP(B118,Nodes!$A:$A,Nodes!$B:$B)</f>
        <v>50.08</v>
      </c>
      <c r="J118">
        <f>_xlfn.XLOOKUP(B118,Nodes!$A:$A,Nodes!$C:$C)</f>
        <v>19.92</v>
      </c>
      <c r="K118">
        <f>_xlfn.XLOOKUP(D118,Nodes!$A:$A,Nodes!$B:$B)</f>
        <v>49.83</v>
      </c>
      <c r="L118">
        <f>_xlfn.XLOOKUP(D118,Nodes!$A:$A,Nodes!$C:$C)</f>
        <v>18.28</v>
      </c>
    </row>
    <row r="119" spans="1:12">
      <c r="A119">
        <v>118</v>
      </c>
      <c r="B119">
        <f>_xlfn.XLOOKUP(C119,Nodes!$D:$D,Nodes!$A:$A)</f>
        <v>31</v>
      </c>
      <c r="C119" t="s">
        <v>42</v>
      </c>
      <c r="D119" s="13">
        <f>_xlfn.XLOOKUP(E119,Nodes!$D:$D,Nodes!$A:$A)</f>
        <v>40</v>
      </c>
      <c r="E119" t="s">
        <v>51</v>
      </c>
      <c r="F119" s="1">
        <f t="shared" si="10"/>
        <v>74.9516478101149</v>
      </c>
      <c r="G119" s="3">
        <f t="shared" si="9"/>
        <v>0.992532481936645</v>
      </c>
      <c r="H119" s="1" t="s">
        <v>85</v>
      </c>
      <c r="I119">
        <f>_xlfn.XLOOKUP(B119,Nodes!$A:$A,Nodes!$B:$B)</f>
        <v>48.97</v>
      </c>
      <c r="J119">
        <f>_xlfn.XLOOKUP(B119,Nodes!$A:$A,Nodes!$C:$C)</f>
        <v>14.47</v>
      </c>
      <c r="K119">
        <f>_xlfn.XLOOKUP(D119,Nodes!$A:$A,Nodes!$B:$B)</f>
        <v>48.307</v>
      </c>
      <c r="L119">
        <f>_xlfn.XLOOKUP(D119,Nodes!$A:$A,Nodes!$C:$C)</f>
        <v>14.286</v>
      </c>
    </row>
    <row r="120" spans="1:12">
      <c r="A120">
        <v>119</v>
      </c>
      <c r="B120">
        <f>_xlfn.XLOOKUP(C120,Nodes!$D:$D,Nodes!$A:$A)</f>
        <v>46</v>
      </c>
      <c r="C120" t="s">
        <v>58</v>
      </c>
      <c r="D120" s="13">
        <f>_xlfn.XLOOKUP(E120,Nodes!$D:$D,Nodes!$A:$A)</f>
        <v>56</v>
      </c>
      <c r="E120" s="8" t="s">
        <v>69</v>
      </c>
      <c r="F120" s="1">
        <f t="shared" si="10"/>
        <v>54.8226839912659</v>
      </c>
      <c r="G120" s="3">
        <f t="shared" si="9"/>
        <v>0.994532459177125</v>
      </c>
      <c r="H120" s="1" t="s">
        <v>85</v>
      </c>
      <c r="I120">
        <f>_xlfn.XLOOKUP(B120,Nodes!$A:$A,Nodes!$B:$B)</f>
        <v>48.209</v>
      </c>
      <c r="J120">
        <f>_xlfn.XLOOKUP(B120,Nodes!$A:$A,Nodes!$C:$C)</f>
        <v>16.373</v>
      </c>
      <c r="K120">
        <f>_xlfn.XLOOKUP(D120,Nodes!$A:$A,Nodes!$B:$B)</f>
        <v>48.14816</v>
      </c>
      <c r="L120">
        <f>_xlfn.XLOOKUP(D120,Nodes!$A:$A,Nodes!$C:$C)</f>
        <v>17.10674</v>
      </c>
    </row>
    <row r="121" spans="1:12">
      <c r="A121">
        <v>120</v>
      </c>
      <c r="B121">
        <f>_xlfn.XLOOKUP(C121,Nodes!$D:$D,Nodes!$A:$A)</f>
        <v>56</v>
      </c>
      <c r="C121" s="8" t="s">
        <v>69</v>
      </c>
      <c r="D121" s="13">
        <f>_xlfn.XLOOKUP(E121,Nodes!$D:$D,Nodes!$A:$A)</f>
        <v>29</v>
      </c>
      <c r="E121" t="s">
        <v>39</v>
      </c>
      <c r="F121" s="1">
        <f t="shared" si="10"/>
        <v>122.513805177514</v>
      </c>
      <c r="G121" s="3">
        <f t="shared" si="9"/>
        <v>0.987822756949604</v>
      </c>
      <c r="H121" s="1" t="s">
        <v>85</v>
      </c>
      <c r="I121">
        <f>_xlfn.XLOOKUP(B121,Nodes!$A:$A,Nodes!$B:$B)</f>
        <v>48.14816</v>
      </c>
      <c r="J121">
        <f>_xlfn.XLOOKUP(B121,Nodes!$A:$A,Nodes!$C:$C)</f>
        <v>17.10674</v>
      </c>
      <c r="K121">
        <f>_xlfn.XLOOKUP(D121,Nodes!$A:$A,Nodes!$B:$B)</f>
        <v>49.2</v>
      </c>
      <c r="L121">
        <f>_xlfn.XLOOKUP(D121,Nodes!$A:$A,Nodes!$C:$C)</f>
        <v>16.61</v>
      </c>
    </row>
    <row r="122" spans="1:12">
      <c r="A122">
        <v>121</v>
      </c>
      <c r="B122">
        <f>_xlfn.XLOOKUP(C122,Nodes!$D:$D,Nodes!$A:$A)</f>
        <v>35</v>
      </c>
      <c r="C122" s="13" t="s">
        <v>46</v>
      </c>
      <c r="D122" s="13">
        <f>_xlfn.XLOOKUP(E122,Nodes!$D:$D,Nodes!$A:$A)</f>
        <v>49</v>
      </c>
      <c r="E122" s="8" t="s">
        <v>62</v>
      </c>
      <c r="F122" s="1">
        <f t="shared" si="10"/>
        <v>75.185051861195</v>
      </c>
      <c r="G122" s="3">
        <f t="shared" si="9"/>
        <v>0.992509314938429</v>
      </c>
      <c r="H122" s="1" t="s">
        <v>85</v>
      </c>
      <c r="I122">
        <f>_xlfn.XLOOKUP(B122,Nodes!$A:$A,Nodes!$B:$B)</f>
        <v>49.83</v>
      </c>
      <c r="J122">
        <f>_xlfn.XLOOKUP(B122,Nodes!$A:$A,Nodes!$C:$C)</f>
        <v>18.28</v>
      </c>
      <c r="K122">
        <f>_xlfn.XLOOKUP(D122,Nodes!$A:$A,Nodes!$B:$B)</f>
        <v>49.22315</v>
      </c>
      <c r="L122">
        <f>_xlfn.XLOOKUP(D122,Nodes!$A:$A,Nodes!$C:$C)</f>
        <v>18.73941</v>
      </c>
    </row>
    <row r="123" spans="1:12">
      <c r="A123">
        <v>122</v>
      </c>
      <c r="B123">
        <f>_xlfn.XLOOKUP(C123,Nodes!$D:$D,Nodes!$A:$A)</f>
        <v>22</v>
      </c>
      <c r="C123" s="8" t="s">
        <v>32</v>
      </c>
      <c r="D123" s="13">
        <f>_xlfn.XLOOKUP(E123,Nodes!$D:$D,Nodes!$A:$A)</f>
        <v>54</v>
      </c>
      <c r="E123" s="8" t="s">
        <v>67</v>
      </c>
      <c r="F123" s="1">
        <f t="shared" si="10"/>
        <v>117.763519239391</v>
      </c>
      <c r="G123" s="3">
        <f t="shared" si="9"/>
        <v>0.988292135949511</v>
      </c>
      <c r="H123" s="1" t="s">
        <v>85</v>
      </c>
      <c r="I123">
        <f>_xlfn.XLOOKUP(B123,Nodes!$A:$A,Nodes!$B:$B)</f>
        <v>50.08</v>
      </c>
      <c r="J123">
        <f>_xlfn.XLOOKUP(B123,Nodes!$A:$A,Nodes!$C:$C)</f>
        <v>19.92</v>
      </c>
      <c r="K123">
        <f>_xlfn.XLOOKUP(D123,Nodes!$A:$A,Nodes!$B:$B)</f>
        <v>49.05</v>
      </c>
      <c r="L123">
        <f>_xlfn.XLOOKUP(D123,Nodes!$A:$A,Nodes!$C:$C)</f>
        <v>20.3</v>
      </c>
    </row>
  </sheetData>
  <conditionalFormatting sqref="F$1:F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 Sizhe</dc:creator>
  <cp:lastModifiedBy>csz</cp:lastModifiedBy>
  <dcterms:created xsi:type="dcterms:W3CDTF">2023-05-12T11:15:00Z</dcterms:created>
  <dcterms:modified xsi:type="dcterms:W3CDTF">2026-04-08T14:00:56Z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D52A6D3C674F4DC8A0A7501C119F26C2_12</vt:lpwstr>
  </property>
  <property fmtid="{D5CDD505-2E9C-101B-9397-08002B2CF9AE}" pid="4" name="CalculationRule">
    <vt:i4>0</vt:i4>
  </property>
</Properties>
</file>