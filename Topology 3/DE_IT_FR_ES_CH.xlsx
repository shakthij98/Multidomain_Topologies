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215" windowHeight="11868" activeTab="1"/>
  </bookViews>
  <sheets>
    <sheet name="Nodes" sheetId="1" r:id="rId1"/>
    <sheet name="Edge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<sst xmlns="http://schemas.openxmlformats.org/spreadsheetml/2006/main" count="561" uniqueCount="92">
  <si>
    <t>Node_ID</t>
  </si>
  <si>
    <t>Latitude</t>
  </si>
  <si>
    <t>Longitude</t>
  </si>
  <si>
    <t>Location Name</t>
  </si>
  <si>
    <t>Country</t>
  </si>
  <si>
    <t>Domain</t>
  </si>
  <si>
    <t>Border</t>
  </si>
  <si>
    <t>node_prob</t>
  </si>
  <si>
    <t>Hannover</t>
  </si>
  <si>
    <t>Germany</t>
  </si>
  <si>
    <t>FALSE</t>
  </si>
  <si>
    <t>Frankfurt</t>
  </si>
  <si>
    <t>Hamburg</t>
  </si>
  <si>
    <t>Norden</t>
  </si>
  <si>
    <t>Bremen</t>
  </si>
  <si>
    <t>Berlin</t>
  </si>
  <si>
    <t>Munich</t>
  </si>
  <si>
    <t>Ulm</t>
  </si>
  <si>
    <t>Nuernberg</t>
  </si>
  <si>
    <t>Stuttgart</t>
  </si>
  <si>
    <t>Karlsruhe</t>
  </si>
  <si>
    <t>Mannheim</t>
  </si>
  <si>
    <t>Essen</t>
  </si>
  <si>
    <t>Dortmund</t>
  </si>
  <si>
    <t>Dusseldorf</t>
  </si>
  <si>
    <t>Koeln</t>
  </si>
  <si>
    <t>Leipzig</t>
  </si>
  <si>
    <t>Calais</t>
  </si>
  <si>
    <t>France</t>
  </si>
  <si>
    <t>Orleans</t>
  </si>
  <si>
    <t>Paris</t>
  </si>
  <si>
    <t>Chalons-en-Champagne</t>
  </si>
  <si>
    <t>Arras</t>
  </si>
  <si>
    <t>Bar-le-Duc</t>
  </si>
  <si>
    <t>Strasbourg</t>
  </si>
  <si>
    <t>Brest</t>
  </si>
  <si>
    <t>Lorient</t>
  </si>
  <si>
    <t>Limoges</t>
  </si>
  <si>
    <t>Poitiers</t>
  </si>
  <si>
    <t>Bayonne</t>
  </si>
  <si>
    <t>Agen</t>
  </si>
  <si>
    <t>Grenoble</t>
  </si>
  <si>
    <t>Tours</t>
  </si>
  <si>
    <t>Bordeaux</t>
  </si>
  <si>
    <t>Lyon</t>
  </si>
  <si>
    <t>Marseille</t>
  </si>
  <si>
    <t>Milan</t>
  </si>
  <si>
    <t>Italy</t>
  </si>
  <si>
    <t>Turin</t>
  </si>
  <si>
    <t>Genoa</t>
  </si>
  <si>
    <t>Bologna</t>
  </si>
  <si>
    <t>Florence</t>
  </si>
  <si>
    <t>Rome</t>
  </si>
  <si>
    <t>Naples</t>
  </si>
  <si>
    <t>Palermo</t>
  </si>
  <si>
    <t>Cagliari</t>
  </si>
  <si>
    <t>Pisa</t>
  </si>
  <si>
    <t>Verona</t>
  </si>
  <si>
    <t>Pescara</t>
  </si>
  <si>
    <t>Ancona</t>
  </si>
  <si>
    <t>Pamplona</t>
  </si>
  <si>
    <t>Spain</t>
  </si>
  <si>
    <t>Logrono</t>
  </si>
  <si>
    <t>Murguia</t>
  </si>
  <si>
    <t>Valencia</t>
  </si>
  <si>
    <t>Zaragoza</t>
  </si>
  <si>
    <t>Barcelona</t>
  </si>
  <si>
    <t>Santiago de Compostela</t>
  </si>
  <si>
    <t>Sevilla</t>
  </si>
  <si>
    <t>Madrid</t>
  </si>
  <si>
    <t>Valladolid</t>
  </si>
  <si>
    <t>Lausanne (EPFL)</t>
  </si>
  <si>
    <t>Switzerland</t>
  </si>
  <si>
    <t>Bern</t>
  </si>
  <si>
    <t>Zurich (ETH)</t>
  </si>
  <si>
    <t>Manno</t>
  </si>
  <si>
    <t>Neuchatel</t>
  </si>
  <si>
    <t>Geneva</t>
  </si>
  <si>
    <t>Basel</t>
  </si>
  <si>
    <t>Edge_ID</t>
  </si>
  <si>
    <t>Source</t>
  </si>
  <si>
    <t>Src_Name</t>
  </si>
  <si>
    <t>Destination</t>
  </si>
  <si>
    <t>Dst_Name</t>
  </si>
  <si>
    <t>Computed Length (km)</t>
  </si>
  <si>
    <t>Availability</t>
  </si>
  <si>
    <t>Capacity</t>
  </si>
  <si>
    <t>src LA</t>
  </si>
  <si>
    <t>src LONG</t>
  </si>
  <si>
    <t>dst LA</t>
  </si>
  <si>
    <t>dst LONG</t>
  </si>
  <si>
    <t>N/A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</si>
</sst>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000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9">
    <fill>
      <patternFill patternType="none"/>
    </fill>
    <fill>
      <patternFill patternType="gray125"/>
    </fill>
    <fill>
      <patternFill patternType="solid">
        <fgColor theme="6" tint="0.8"/>
        <bgColor indexed="64"/>
      </patternFill>
    </fill>
    <fill>
      <patternFill patternType="solid">
        <fgColor theme="7" tint="0.8"/>
        <bgColor indexed="64"/>
      </patternFill>
    </fill>
    <fill>
      <patternFill patternType="solid">
        <fgColor theme="4" tint="0.8"/>
        <bgColor indexed="64"/>
      </patternFill>
    </fill>
    <fill>
      <patternFill patternType="solid">
        <fgColor theme="4" tint="0.8"/>
        <bgColor indexed="64"/>
      </patternFill>
    </fill>
    <fill>
      <patternFill patternType="solid">
        <fgColor theme="9" tint="0.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8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9" borderId="4">
      <alignment vertical="center"/>
    </xf>
    <xf numFmtId="0" fontId="10" fillId="10" borderId="5">
      <alignment vertical="center"/>
    </xf>
    <xf numFmtId="0" fontId="11" fillId="10" borderId="4">
      <alignment vertical="center"/>
    </xf>
    <xf numFmtId="0" fontId="12" fillId="11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12" borderId="0">
      <alignment vertical="center"/>
    </xf>
    <xf numFmtId="0" fontId="16" fillId="13" borderId="0">
      <alignment vertical="center"/>
    </xf>
    <xf numFmtId="0" fontId="17" fillId="14" borderId="0">
      <alignment vertical="center"/>
    </xf>
    <xf numFmtId="0" fontId="18" fillId="15" borderId="0">
      <alignment vertical="center"/>
    </xf>
    <xf numFmtId="0" fontId="19" fillId="16" borderId="0">
      <alignment vertical="center"/>
    </xf>
    <xf numFmtId="0" fontId="19" fillId="17" borderId="0">
      <alignment vertical="center"/>
    </xf>
    <xf numFmtId="0" fontId="18" fillId="18" borderId="0">
      <alignment vertical="center"/>
    </xf>
    <xf numFmtId="0" fontId="18" fillId="19" borderId="0">
      <alignment vertical="center"/>
    </xf>
    <xf numFmtId="0" fontId="19" fillId="20" borderId="0">
      <alignment vertical="center"/>
    </xf>
    <xf numFmtId="0" fontId="19" fillId="21" borderId="0">
      <alignment vertical="center"/>
    </xf>
    <xf numFmtId="0" fontId="18" fillId="22" borderId="0">
      <alignment vertical="center"/>
    </xf>
    <xf numFmtId="0" fontId="18" fillId="23" borderId="0">
      <alignment vertical="center"/>
    </xf>
    <xf numFmtId="0" fontId="19" fillId="24" borderId="0">
      <alignment vertical="center"/>
    </xf>
    <xf numFmtId="0" fontId="19" fillId="25" borderId="0">
      <alignment vertical="center"/>
    </xf>
    <xf numFmtId="0" fontId="18" fillId="26" borderId="0">
      <alignment vertical="center"/>
    </xf>
    <xf numFmtId="0" fontId="18" fillId="27" borderId="0">
      <alignment vertical="center"/>
    </xf>
    <xf numFmtId="0" fontId="19" fillId="28" borderId="0">
      <alignment vertical="center"/>
    </xf>
    <xf numFmtId="0" fontId="19" fillId="29" borderId="0">
      <alignment vertical="center"/>
    </xf>
    <xf numFmtId="0" fontId="18" fillId="30" borderId="0">
      <alignment vertical="center"/>
    </xf>
    <xf numFmtId="0" fontId="18" fillId="31" borderId="0">
      <alignment vertical="center"/>
    </xf>
    <xf numFmtId="0" fontId="19" fillId="32" borderId="0">
      <alignment vertical="center"/>
    </xf>
    <xf numFmtId="0" fontId="19" fillId="33" borderId="0">
      <alignment vertical="center"/>
    </xf>
    <xf numFmtId="0" fontId="18" fillId="34" borderId="0">
      <alignment vertical="center"/>
    </xf>
    <xf numFmtId="0" fontId="18" fillId="35" borderId="0">
      <alignment vertical="center"/>
    </xf>
    <xf numFmtId="0" fontId="19" fillId="36" borderId="0">
      <alignment vertical="center"/>
    </xf>
    <xf numFmtId="0" fontId="19" fillId="37" borderId="0">
      <alignment vertical="center"/>
    </xf>
    <xf numFmtId="0" fontId="18" fillId="38" borderId="0">
      <alignment vertical="center"/>
    </xf>
  </cellStyleXfs>
  <cellXfs count="15">
    <xf numFmtId="0" fontId="0" fillId="0" borderId="0" xfId="0" applyAlignment="1">
      <alignment vertical="center"/>
    </xf>
    <xf numFmtId="0" fontId="0" fillId="0" borderId="0" xfId="0" applyFill="1" applyAlignment="1"/>
    <xf numFmtId="0" fontId="0" fillId="2" borderId="0" xfId="0" applyFill="1" applyAlignment="1"/>
    <xf numFmtId="176" fontId="0" fillId="0" borderId="0" xfId="0" applyNumberFormat="1" applyFill="1" applyAlignment="1"/>
    <xf numFmtId="0" fontId="0" fillId="3" borderId="0" xfId="0" applyFill="1" applyAlignment="1"/>
    <xf numFmtId="0" fontId="0" fillId="4" borderId="0" xfId="0" applyFill="1" applyAlignment="1"/>
    <xf numFmtId="0" fontId="0" fillId="0" borderId="0" xfId="0" applyFont="1" applyFill="1" applyAlignment="1"/>
    <xf numFmtId="0" fontId="0" fillId="4" borderId="0" xfId="0" applyFont="1" applyFill="1" applyAlignment="1"/>
    <xf numFmtId="0" fontId="0" fillId="0" borderId="0" xfId="0" applyFont="1" applyFill="1" applyAlignment="1"/>
    <xf numFmtId="0" fontId="0" fillId="5" borderId="0" xfId="0" applyFont="1" applyFill="1" applyAlignment="1"/>
    <xf numFmtId="0" fontId="0" fillId="6" borderId="0" xfId="0" applyFont="1" applyFill="1" applyAlignment="1"/>
    <xf numFmtId="0" fontId="0" fillId="0" borderId="0" xfId="0" applyFill="1" applyAlignment="1">
      <alignment horizontal="center"/>
    </xf>
    <xf numFmtId="0" fontId="0" fillId="7" borderId="0" xfId="0" applyFill="1" applyAlignment="1"/>
    <xf numFmtId="0" fontId="0" fillId="0" borderId="0" xfId="0" applyFill="1" applyAlignment="1">
      <alignment vertical="center"/>
    </xf>
    <xf numFmtId="0" fontId="0" fillId="7" borderId="0" xfId="0" applyFont="1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">
    <dxf>
      <fill>
        <patternFill patternType="solid">
          <bgColor rgb="FFFF99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66"/>
  <sheetViews>
    <sheetView topLeftCell="A37" workbookViewId="0">
      <selection activeCell="J31" sqref="J31"/>
    </sheetView>
  </sheetViews>
  <sheetFormatPr defaultColWidth="9" defaultRowHeight="14.4" outlineLevelCol="7"/>
  <cols>
    <col min="2" max="3" width="12.8888888888889"/>
    <col min="4" max="4" width="23.1111111111111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s="1">
        <v>1</v>
      </c>
      <c r="B2" s="1">
        <v>52.39</v>
      </c>
      <c r="C2" s="1">
        <v>9.8</v>
      </c>
      <c r="D2" s="1" t="s">
        <v>8</v>
      </c>
      <c r="E2" s="1" t="s">
        <v>9</v>
      </c>
      <c r="F2" s="1">
        <v>1</v>
      </c>
      <c r="G2" s="11" t="s">
        <v>10</v>
      </c>
      <c r="H2" s="1">
        <v>1</v>
      </c>
    </row>
    <row r="3" spans="1:8">
      <c r="A3" s="1">
        <v>2</v>
      </c>
      <c r="B3" s="1">
        <v>50.1</v>
      </c>
      <c r="C3" s="1">
        <v>8.67</v>
      </c>
      <c r="D3" s="12" t="s">
        <v>11</v>
      </c>
      <c r="E3" s="1" t="s">
        <v>9</v>
      </c>
      <c r="F3" s="1">
        <v>1</v>
      </c>
      <c r="G3" s="13" t="b">
        <v>1</v>
      </c>
      <c r="H3" s="1">
        <v>1</v>
      </c>
    </row>
    <row r="4" spans="1:8">
      <c r="A4" s="1">
        <v>3</v>
      </c>
      <c r="B4" s="1">
        <v>53.55</v>
      </c>
      <c r="C4" s="1">
        <v>10.02</v>
      </c>
      <c r="D4" s="1" t="s">
        <v>12</v>
      </c>
      <c r="E4" s="1" t="s">
        <v>9</v>
      </c>
      <c r="F4" s="1">
        <v>1</v>
      </c>
      <c r="G4" s="11" t="s">
        <v>10</v>
      </c>
      <c r="H4" s="1">
        <v>1</v>
      </c>
    </row>
    <row r="5" spans="1:8">
      <c r="A5" s="1">
        <v>4</v>
      </c>
      <c r="B5" s="1">
        <v>53.6</v>
      </c>
      <c r="C5" s="1">
        <v>7.21</v>
      </c>
      <c r="D5" s="1" t="s">
        <v>13</v>
      </c>
      <c r="E5" s="1" t="s">
        <v>9</v>
      </c>
      <c r="F5" s="1">
        <v>1</v>
      </c>
      <c r="G5" s="11" t="s">
        <v>10</v>
      </c>
      <c r="H5" s="1">
        <v>1</v>
      </c>
    </row>
    <row r="6" spans="1:8">
      <c r="A6" s="1">
        <v>5</v>
      </c>
      <c r="B6" s="1">
        <v>53.08</v>
      </c>
      <c r="C6" s="1">
        <v>8.8</v>
      </c>
      <c r="D6" s="1" t="s">
        <v>14</v>
      </c>
      <c r="E6" s="1" t="s">
        <v>9</v>
      </c>
      <c r="F6" s="1">
        <v>1</v>
      </c>
      <c r="G6" s="11" t="s">
        <v>10</v>
      </c>
      <c r="H6" s="1">
        <v>1</v>
      </c>
    </row>
    <row r="7" spans="1:8">
      <c r="A7" s="1">
        <v>6</v>
      </c>
      <c r="B7" s="1">
        <v>52.52</v>
      </c>
      <c r="C7" s="1">
        <v>13.4</v>
      </c>
      <c r="D7" s="1" t="s">
        <v>15</v>
      </c>
      <c r="E7" s="1" t="s">
        <v>9</v>
      </c>
      <c r="F7" s="1">
        <v>1</v>
      </c>
      <c r="G7" s="11" t="s">
        <v>10</v>
      </c>
      <c r="H7" s="1">
        <v>1</v>
      </c>
    </row>
    <row r="8" spans="1:8">
      <c r="A8" s="1">
        <v>7</v>
      </c>
      <c r="B8" s="1">
        <v>48.13</v>
      </c>
      <c r="C8" s="1">
        <v>11.57</v>
      </c>
      <c r="D8" s="12" t="s">
        <v>16</v>
      </c>
      <c r="E8" s="1" t="s">
        <v>9</v>
      </c>
      <c r="F8" s="1">
        <v>1</v>
      </c>
      <c r="G8" s="13" t="b">
        <v>1</v>
      </c>
      <c r="H8" s="1">
        <v>1</v>
      </c>
    </row>
    <row r="9" spans="1:8">
      <c r="A9" s="1">
        <v>8</v>
      </c>
      <c r="B9" s="1">
        <v>48.4</v>
      </c>
      <c r="C9" s="1">
        <v>9.99</v>
      </c>
      <c r="D9" s="1" t="s">
        <v>17</v>
      </c>
      <c r="E9" s="1" t="s">
        <v>9</v>
      </c>
      <c r="F9" s="1">
        <v>1</v>
      </c>
      <c r="G9" s="11" t="s">
        <v>10</v>
      </c>
      <c r="H9" s="1">
        <v>1</v>
      </c>
    </row>
    <row r="10" spans="1:8">
      <c r="A10" s="1">
        <v>9</v>
      </c>
      <c r="B10" s="1">
        <v>49.45</v>
      </c>
      <c r="C10" s="1">
        <v>11.08</v>
      </c>
      <c r="D10" s="1" t="s">
        <v>18</v>
      </c>
      <c r="E10" s="1" t="s">
        <v>9</v>
      </c>
      <c r="F10" s="1">
        <v>1</v>
      </c>
      <c r="G10" s="11" t="s">
        <v>10</v>
      </c>
      <c r="H10" s="1">
        <v>1</v>
      </c>
    </row>
    <row r="11" spans="1:8">
      <c r="A11" s="1">
        <v>10</v>
      </c>
      <c r="B11" s="1">
        <v>48.73</v>
      </c>
      <c r="C11" s="1">
        <v>9.12</v>
      </c>
      <c r="D11" s="1" t="s">
        <v>19</v>
      </c>
      <c r="E11" s="1" t="s">
        <v>9</v>
      </c>
      <c r="F11" s="1">
        <v>1</v>
      </c>
      <c r="G11" s="11" t="s">
        <v>10</v>
      </c>
      <c r="H11" s="1">
        <v>1</v>
      </c>
    </row>
    <row r="12" spans="1:8">
      <c r="A12" s="1">
        <v>11</v>
      </c>
      <c r="B12" s="1">
        <v>49.01</v>
      </c>
      <c r="C12" s="1">
        <v>8.41</v>
      </c>
      <c r="D12" s="1" t="s">
        <v>20</v>
      </c>
      <c r="E12" s="1" t="s">
        <v>9</v>
      </c>
      <c r="F12" s="1">
        <v>1</v>
      </c>
      <c r="G12" s="11" t="s">
        <v>10</v>
      </c>
      <c r="H12" s="1">
        <v>1</v>
      </c>
    </row>
    <row r="13" spans="1:8">
      <c r="A13" s="1">
        <v>12</v>
      </c>
      <c r="B13" s="1">
        <v>49.49</v>
      </c>
      <c r="C13" s="1">
        <v>8.49</v>
      </c>
      <c r="D13" s="1" t="s">
        <v>21</v>
      </c>
      <c r="E13" s="1" t="s">
        <v>9</v>
      </c>
      <c r="F13" s="1">
        <v>1</v>
      </c>
      <c r="G13" s="11" t="s">
        <v>10</v>
      </c>
      <c r="H13" s="1">
        <v>1</v>
      </c>
    </row>
    <row r="14" spans="1:8">
      <c r="A14" s="1">
        <v>13</v>
      </c>
      <c r="B14" s="1">
        <v>51.44</v>
      </c>
      <c r="C14" s="1">
        <v>7</v>
      </c>
      <c r="D14" s="1" t="s">
        <v>22</v>
      </c>
      <c r="E14" s="1" t="s">
        <v>9</v>
      </c>
      <c r="F14" s="1">
        <v>1</v>
      </c>
      <c r="G14" s="11" t="s">
        <v>10</v>
      </c>
      <c r="H14" s="1">
        <v>1</v>
      </c>
    </row>
    <row r="15" spans="1:8">
      <c r="A15" s="1">
        <v>14</v>
      </c>
      <c r="B15" s="1">
        <v>51.51</v>
      </c>
      <c r="C15" s="1">
        <v>7.48</v>
      </c>
      <c r="D15" s="1" t="s">
        <v>23</v>
      </c>
      <c r="E15" s="1" t="s">
        <v>9</v>
      </c>
      <c r="F15" s="1">
        <v>1</v>
      </c>
      <c r="G15" s="11" t="s">
        <v>10</v>
      </c>
      <c r="H15" s="1">
        <v>1</v>
      </c>
    </row>
    <row r="16" spans="1:8">
      <c r="A16" s="1">
        <v>15</v>
      </c>
      <c r="B16" s="1">
        <v>51.23</v>
      </c>
      <c r="C16" s="1">
        <v>6.78</v>
      </c>
      <c r="D16" s="12" t="s">
        <v>24</v>
      </c>
      <c r="E16" s="1" t="s">
        <v>9</v>
      </c>
      <c r="F16" s="1">
        <v>1</v>
      </c>
      <c r="G16" s="13" t="b">
        <v>1</v>
      </c>
      <c r="H16" s="1">
        <v>1</v>
      </c>
    </row>
    <row r="17" spans="1:8">
      <c r="A17" s="1">
        <v>16</v>
      </c>
      <c r="B17" s="1">
        <v>50.92</v>
      </c>
      <c r="C17" s="1">
        <v>7.01</v>
      </c>
      <c r="D17" s="1" t="s">
        <v>25</v>
      </c>
      <c r="E17" s="1" t="s">
        <v>9</v>
      </c>
      <c r="F17" s="1">
        <v>1</v>
      </c>
      <c r="G17" s="11" t="s">
        <v>10</v>
      </c>
      <c r="H17" s="1">
        <v>1</v>
      </c>
    </row>
    <row r="18" spans="1:8">
      <c r="A18" s="1">
        <v>17</v>
      </c>
      <c r="B18" s="1">
        <v>51.34</v>
      </c>
      <c r="C18" s="1">
        <v>12.38</v>
      </c>
      <c r="D18" s="1" t="s">
        <v>26</v>
      </c>
      <c r="E18" s="1" t="s">
        <v>9</v>
      </c>
      <c r="F18" s="1">
        <v>1</v>
      </c>
      <c r="G18" s="11" t="s">
        <v>10</v>
      </c>
      <c r="H18" s="1">
        <v>1</v>
      </c>
    </row>
    <row r="19" spans="1:8">
      <c r="A19" s="1">
        <v>18</v>
      </c>
      <c r="B19" s="1">
        <v>50.95</v>
      </c>
      <c r="C19" s="1">
        <v>1.86</v>
      </c>
      <c r="D19" s="12" t="s">
        <v>27</v>
      </c>
      <c r="E19" s="1" t="s">
        <v>28</v>
      </c>
      <c r="F19">
        <v>2</v>
      </c>
      <c r="G19" s="13" t="b">
        <v>1</v>
      </c>
      <c r="H19" s="1">
        <v>1</v>
      </c>
    </row>
    <row r="20" spans="1:8">
      <c r="A20" s="1">
        <v>19</v>
      </c>
      <c r="B20" s="1">
        <v>47.9</v>
      </c>
      <c r="C20" s="1">
        <v>1.91</v>
      </c>
      <c r="D20" s="1" t="s">
        <v>29</v>
      </c>
      <c r="E20" s="1" t="s">
        <v>28</v>
      </c>
      <c r="F20">
        <v>2</v>
      </c>
      <c r="G20" s="11" t="s">
        <v>10</v>
      </c>
      <c r="H20" s="1">
        <v>1</v>
      </c>
    </row>
    <row r="21" spans="1:8">
      <c r="A21" s="1">
        <v>20</v>
      </c>
      <c r="B21" s="1">
        <v>48.85</v>
      </c>
      <c r="C21" s="1">
        <v>2.35</v>
      </c>
      <c r="D21" s="12" t="s">
        <v>30</v>
      </c>
      <c r="E21" s="1" t="s">
        <v>28</v>
      </c>
      <c r="F21">
        <v>2</v>
      </c>
      <c r="G21" s="13" t="b">
        <v>1</v>
      </c>
      <c r="H21" s="1">
        <v>1</v>
      </c>
    </row>
    <row r="22" spans="1:8">
      <c r="A22" s="1">
        <v>21</v>
      </c>
      <c r="B22" s="1">
        <v>48.96</v>
      </c>
      <c r="C22" s="1">
        <v>4.36</v>
      </c>
      <c r="D22" s="1" t="s">
        <v>31</v>
      </c>
      <c r="E22" s="1" t="s">
        <v>28</v>
      </c>
      <c r="F22">
        <v>2</v>
      </c>
      <c r="G22" s="11" t="s">
        <v>10</v>
      </c>
      <c r="H22" s="1">
        <v>1</v>
      </c>
    </row>
    <row r="23" spans="1:8">
      <c r="A23" s="1">
        <v>22</v>
      </c>
      <c r="B23" s="1">
        <v>50.29</v>
      </c>
      <c r="C23" s="1">
        <v>2.77</v>
      </c>
      <c r="D23" s="1" t="s">
        <v>32</v>
      </c>
      <c r="E23" s="1" t="s">
        <v>28</v>
      </c>
      <c r="F23">
        <v>2</v>
      </c>
      <c r="G23" s="11" t="s">
        <v>10</v>
      </c>
      <c r="H23" s="1">
        <v>1</v>
      </c>
    </row>
    <row r="24" spans="1:8">
      <c r="A24" s="1">
        <v>23</v>
      </c>
      <c r="B24" s="1">
        <v>48.77</v>
      </c>
      <c r="C24" s="1">
        <v>5.16</v>
      </c>
      <c r="D24" s="1" t="s">
        <v>33</v>
      </c>
      <c r="E24" s="1" t="s">
        <v>28</v>
      </c>
      <c r="F24">
        <v>2</v>
      </c>
      <c r="G24" s="11" t="s">
        <v>10</v>
      </c>
      <c r="H24" s="1">
        <v>1</v>
      </c>
    </row>
    <row r="25" spans="1:8">
      <c r="A25" s="1">
        <v>24</v>
      </c>
      <c r="B25" s="1">
        <v>48.58</v>
      </c>
      <c r="C25" s="1">
        <v>7.75</v>
      </c>
      <c r="D25" s="12" t="s">
        <v>34</v>
      </c>
      <c r="E25" s="1" t="s">
        <v>28</v>
      </c>
      <c r="F25">
        <v>2</v>
      </c>
      <c r="G25" s="13" t="b">
        <v>1</v>
      </c>
      <c r="H25" s="1">
        <v>1</v>
      </c>
    </row>
    <row r="26" spans="1:8">
      <c r="A26" s="1">
        <v>25</v>
      </c>
      <c r="B26" s="1">
        <v>48.39</v>
      </c>
      <c r="C26" s="1">
        <v>-4.49</v>
      </c>
      <c r="D26" s="1" t="s">
        <v>35</v>
      </c>
      <c r="E26" s="1" t="s">
        <v>28</v>
      </c>
      <c r="F26">
        <v>2</v>
      </c>
      <c r="G26" s="11" t="s">
        <v>10</v>
      </c>
      <c r="H26" s="1">
        <v>1</v>
      </c>
    </row>
    <row r="27" spans="1:8">
      <c r="A27" s="1">
        <v>26</v>
      </c>
      <c r="B27" s="1">
        <v>47.75</v>
      </c>
      <c r="C27" s="1">
        <v>-3.37</v>
      </c>
      <c r="D27" s="1" t="s">
        <v>36</v>
      </c>
      <c r="E27" s="1" t="s">
        <v>28</v>
      </c>
      <c r="F27">
        <v>2</v>
      </c>
      <c r="G27" s="11" t="s">
        <v>10</v>
      </c>
      <c r="H27" s="1">
        <v>1</v>
      </c>
    </row>
    <row r="28" spans="1:8">
      <c r="A28" s="1">
        <v>27</v>
      </c>
      <c r="B28" s="1">
        <v>45.83</v>
      </c>
      <c r="C28" s="1">
        <v>1.26</v>
      </c>
      <c r="D28" s="1" t="s">
        <v>37</v>
      </c>
      <c r="E28" s="1" t="s">
        <v>28</v>
      </c>
      <c r="F28">
        <v>2</v>
      </c>
      <c r="G28" s="11" t="s">
        <v>10</v>
      </c>
      <c r="H28" s="1">
        <v>1</v>
      </c>
    </row>
    <row r="29" spans="1:8">
      <c r="A29" s="1">
        <v>28</v>
      </c>
      <c r="B29" s="1">
        <v>46.58</v>
      </c>
      <c r="C29" s="1">
        <v>-0.34</v>
      </c>
      <c r="D29" s="1" t="s">
        <v>38</v>
      </c>
      <c r="E29" s="1" t="s">
        <v>28</v>
      </c>
      <c r="F29">
        <v>2</v>
      </c>
      <c r="G29" s="11" t="s">
        <v>10</v>
      </c>
      <c r="H29" s="1">
        <v>1</v>
      </c>
    </row>
    <row r="30" spans="1:8">
      <c r="A30" s="1">
        <v>29</v>
      </c>
      <c r="B30" s="1">
        <v>43.49</v>
      </c>
      <c r="C30" s="1">
        <v>-1.47</v>
      </c>
      <c r="D30" s="12" t="s">
        <v>39</v>
      </c>
      <c r="E30" s="1" t="s">
        <v>28</v>
      </c>
      <c r="F30">
        <v>2</v>
      </c>
      <c r="G30" s="13" t="b">
        <v>1</v>
      </c>
      <c r="H30" s="1">
        <v>1</v>
      </c>
    </row>
    <row r="31" spans="1:8">
      <c r="A31" s="1">
        <v>30</v>
      </c>
      <c r="B31" s="1">
        <v>44.2</v>
      </c>
      <c r="C31" s="1">
        <v>0.62</v>
      </c>
      <c r="D31" s="1" t="s">
        <v>40</v>
      </c>
      <c r="E31" s="1" t="s">
        <v>28</v>
      </c>
      <c r="F31">
        <v>2</v>
      </c>
      <c r="G31" s="11" t="s">
        <v>10</v>
      </c>
      <c r="H31" s="1">
        <v>1</v>
      </c>
    </row>
    <row r="32" spans="1:8">
      <c r="A32" s="1">
        <v>31</v>
      </c>
      <c r="B32" s="1">
        <v>45.19</v>
      </c>
      <c r="C32" s="1">
        <v>5.72</v>
      </c>
      <c r="D32" s="12" t="s">
        <v>41</v>
      </c>
      <c r="E32" s="1" t="s">
        <v>28</v>
      </c>
      <c r="F32">
        <v>2</v>
      </c>
      <c r="G32" s="13" t="b">
        <v>1</v>
      </c>
      <c r="H32" s="1">
        <v>1</v>
      </c>
    </row>
    <row r="33" spans="1:8">
      <c r="A33" s="1">
        <v>32</v>
      </c>
      <c r="B33" s="1">
        <v>47.39</v>
      </c>
      <c r="C33" s="1">
        <v>0.69</v>
      </c>
      <c r="D33" s="1" t="s">
        <v>42</v>
      </c>
      <c r="E33" s="1" t="s">
        <v>28</v>
      </c>
      <c r="F33">
        <v>2</v>
      </c>
      <c r="G33" s="11" t="s">
        <v>10</v>
      </c>
      <c r="H33" s="1">
        <v>1</v>
      </c>
    </row>
    <row r="34" spans="1:8">
      <c r="A34" s="1">
        <v>33</v>
      </c>
      <c r="B34" s="6">
        <v>44.85</v>
      </c>
      <c r="C34" s="6">
        <v>-0.57</v>
      </c>
      <c r="D34" s="14" t="s">
        <v>43</v>
      </c>
      <c r="E34" s="6" t="s">
        <v>28</v>
      </c>
      <c r="F34">
        <v>2</v>
      </c>
      <c r="G34" s="13" t="b">
        <v>1</v>
      </c>
      <c r="H34" s="1">
        <v>1</v>
      </c>
    </row>
    <row r="35" spans="1:8">
      <c r="A35" s="1">
        <v>34</v>
      </c>
      <c r="B35" s="6">
        <v>45.73</v>
      </c>
      <c r="C35" s="6">
        <v>4.83</v>
      </c>
      <c r="D35" s="14" t="s">
        <v>44</v>
      </c>
      <c r="E35" s="6" t="s">
        <v>28</v>
      </c>
      <c r="F35">
        <v>2</v>
      </c>
      <c r="G35" s="13" t="b">
        <v>1</v>
      </c>
      <c r="H35" s="1">
        <v>1</v>
      </c>
    </row>
    <row r="36" spans="1:8">
      <c r="A36" s="1">
        <v>35</v>
      </c>
      <c r="B36" s="6">
        <v>43.3</v>
      </c>
      <c r="C36" s="6">
        <v>5.37</v>
      </c>
      <c r="D36" s="14" t="s">
        <v>45</v>
      </c>
      <c r="E36" s="6" t="s">
        <v>28</v>
      </c>
      <c r="F36">
        <v>2</v>
      </c>
      <c r="G36" s="13" t="b">
        <v>1</v>
      </c>
      <c r="H36" s="1">
        <v>1</v>
      </c>
    </row>
    <row r="37" spans="1:8">
      <c r="A37" s="1">
        <v>36</v>
      </c>
      <c r="B37" s="1">
        <v>45.47</v>
      </c>
      <c r="C37" s="1">
        <v>9.17</v>
      </c>
      <c r="D37" s="12" t="s">
        <v>46</v>
      </c>
      <c r="E37" s="1" t="s">
        <v>47</v>
      </c>
      <c r="F37" s="1">
        <v>3</v>
      </c>
      <c r="G37" s="13" t="b">
        <v>1</v>
      </c>
      <c r="H37" s="1">
        <v>1</v>
      </c>
    </row>
    <row r="38" spans="1:8">
      <c r="A38" s="1">
        <v>37</v>
      </c>
      <c r="B38" s="1">
        <v>45.079167</v>
      </c>
      <c r="C38" s="1">
        <v>7.676111</v>
      </c>
      <c r="D38" s="12" t="s">
        <v>48</v>
      </c>
      <c r="E38" s="1" t="s">
        <v>47</v>
      </c>
      <c r="F38" s="1">
        <v>3</v>
      </c>
      <c r="G38" s="13" t="b">
        <v>1</v>
      </c>
      <c r="H38" s="1">
        <v>1</v>
      </c>
    </row>
    <row r="39" spans="1:8">
      <c r="A39" s="1">
        <v>38</v>
      </c>
      <c r="B39" s="1">
        <v>44.407186</v>
      </c>
      <c r="C39" s="1">
        <v>8.933983</v>
      </c>
      <c r="D39" s="1" t="s">
        <v>49</v>
      </c>
      <c r="E39" s="1" t="s">
        <v>47</v>
      </c>
      <c r="F39" s="1">
        <v>3</v>
      </c>
      <c r="G39" s="11" t="s">
        <v>10</v>
      </c>
      <c r="H39" s="1">
        <v>1</v>
      </c>
    </row>
    <row r="40" spans="1:8">
      <c r="A40" s="1">
        <v>39</v>
      </c>
      <c r="B40" s="1">
        <v>44.493889</v>
      </c>
      <c r="C40" s="1">
        <v>11.342778</v>
      </c>
      <c r="D40" s="1" t="s">
        <v>50</v>
      </c>
      <c r="E40" s="1" t="s">
        <v>47</v>
      </c>
      <c r="F40" s="1">
        <v>3</v>
      </c>
      <c r="G40" s="11" t="s">
        <v>10</v>
      </c>
      <c r="H40" s="1">
        <v>1</v>
      </c>
    </row>
    <row r="41" spans="1:8">
      <c r="A41" s="1">
        <v>40</v>
      </c>
      <c r="B41" s="1">
        <v>43.771389</v>
      </c>
      <c r="C41" s="1">
        <v>11.254167</v>
      </c>
      <c r="D41" s="1" t="s">
        <v>51</v>
      </c>
      <c r="E41" s="1" t="s">
        <v>47</v>
      </c>
      <c r="F41" s="1">
        <v>3</v>
      </c>
      <c r="G41" s="11" t="s">
        <v>10</v>
      </c>
      <c r="H41" s="1">
        <v>1</v>
      </c>
    </row>
    <row r="42" spans="1:8">
      <c r="A42" s="1">
        <v>41</v>
      </c>
      <c r="B42" s="1">
        <v>41.88</v>
      </c>
      <c r="C42" s="1">
        <v>12.5</v>
      </c>
      <c r="D42" s="12" t="s">
        <v>52</v>
      </c>
      <c r="E42" s="1" t="s">
        <v>47</v>
      </c>
      <c r="F42" s="1">
        <v>3</v>
      </c>
      <c r="G42" s="13" t="b">
        <v>1</v>
      </c>
      <c r="H42" s="1">
        <v>1</v>
      </c>
    </row>
    <row r="43" spans="1:8">
      <c r="A43" s="1">
        <v>42</v>
      </c>
      <c r="B43" s="1">
        <v>40.833333</v>
      </c>
      <c r="C43" s="1">
        <v>14.25</v>
      </c>
      <c r="D43" s="1" t="s">
        <v>53</v>
      </c>
      <c r="E43" s="1" t="s">
        <v>47</v>
      </c>
      <c r="F43" s="1">
        <v>3</v>
      </c>
      <c r="G43" s="11" t="s">
        <v>10</v>
      </c>
      <c r="H43" s="1">
        <v>1</v>
      </c>
    </row>
    <row r="44" spans="1:8">
      <c r="A44" s="1">
        <v>43</v>
      </c>
      <c r="B44" s="1">
        <v>38.12</v>
      </c>
      <c r="C44" s="1">
        <v>13.35</v>
      </c>
      <c r="D44" s="1" t="s">
        <v>54</v>
      </c>
      <c r="E44" s="1" t="s">
        <v>47</v>
      </c>
      <c r="F44" s="1">
        <v>3</v>
      </c>
      <c r="G44" s="11" t="s">
        <v>10</v>
      </c>
      <c r="H44" s="1">
        <v>1</v>
      </c>
    </row>
    <row r="45" spans="1:8">
      <c r="A45" s="1">
        <v>44</v>
      </c>
      <c r="B45" s="6">
        <v>39.216666666667</v>
      </c>
      <c r="C45" s="6">
        <v>9.1166666666667</v>
      </c>
      <c r="D45" s="6" t="s">
        <v>55</v>
      </c>
      <c r="E45" s="6" t="s">
        <v>47</v>
      </c>
      <c r="F45" s="1">
        <v>3</v>
      </c>
      <c r="G45" s="11" t="s">
        <v>10</v>
      </c>
      <c r="H45" s="1">
        <v>1</v>
      </c>
    </row>
    <row r="46" spans="1:8">
      <c r="A46" s="1">
        <v>45</v>
      </c>
      <c r="B46" s="6">
        <v>43.716666666667</v>
      </c>
      <c r="C46" s="6">
        <v>10.4</v>
      </c>
      <c r="D46" s="6" t="s">
        <v>56</v>
      </c>
      <c r="E46" s="6" t="s">
        <v>47</v>
      </c>
      <c r="F46" s="1">
        <v>3</v>
      </c>
      <c r="G46" s="11" t="s">
        <v>10</v>
      </c>
      <c r="H46" s="1">
        <v>1</v>
      </c>
    </row>
    <row r="47" spans="1:8">
      <c r="A47" s="1">
        <v>46</v>
      </c>
      <c r="B47" s="6">
        <v>45.4386111111111</v>
      </c>
      <c r="C47" s="6">
        <v>10.9927777777778</v>
      </c>
      <c r="D47" s="6" t="s">
        <v>57</v>
      </c>
      <c r="E47" s="6" t="s">
        <v>47</v>
      </c>
      <c r="F47" s="1">
        <v>3</v>
      </c>
      <c r="G47" s="11" t="s">
        <v>10</v>
      </c>
      <c r="H47" s="1">
        <v>1</v>
      </c>
    </row>
    <row r="48" spans="1:8">
      <c r="A48" s="1">
        <v>47</v>
      </c>
      <c r="B48" s="6">
        <v>42.464277777778</v>
      </c>
      <c r="C48" s="6">
        <v>14.214188888889</v>
      </c>
      <c r="D48" s="6" t="s">
        <v>58</v>
      </c>
      <c r="E48" s="6" t="s">
        <v>47</v>
      </c>
      <c r="F48" s="1">
        <v>3</v>
      </c>
      <c r="G48" s="11" t="s">
        <v>10</v>
      </c>
      <c r="H48" s="1">
        <v>1</v>
      </c>
    </row>
    <row r="49" spans="1:8">
      <c r="A49" s="1">
        <v>48</v>
      </c>
      <c r="B49" s="1">
        <v>43.616666666667</v>
      </c>
      <c r="C49" s="1">
        <v>13.516666666667</v>
      </c>
      <c r="D49" s="8" t="s">
        <v>59</v>
      </c>
      <c r="E49" s="8" t="s">
        <v>47</v>
      </c>
      <c r="F49" s="1">
        <v>3</v>
      </c>
      <c r="G49" s="11" t="s">
        <v>10</v>
      </c>
      <c r="H49" s="1">
        <v>1</v>
      </c>
    </row>
    <row r="50" spans="1:8">
      <c r="A50" s="1">
        <v>49</v>
      </c>
      <c r="B50" s="6">
        <v>42.82</v>
      </c>
      <c r="C50" s="6">
        <v>-1.64</v>
      </c>
      <c r="D50" s="14" t="s">
        <v>60</v>
      </c>
      <c r="E50" s="6" t="s">
        <v>61</v>
      </c>
      <c r="F50">
        <v>4</v>
      </c>
      <c r="G50" s="13" t="b">
        <v>1</v>
      </c>
      <c r="H50" s="1">
        <v>1</v>
      </c>
    </row>
    <row r="51" spans="1:8">
      <c r="A51" s="1">
        <v>50</v>
      </c>
      <c r="B51" s="6">
        <v>42.47</v>
      </c>
      <c r="C51" s="6">
        <v>-2.45</v>
      </c>
      <c r="D51" s="6" t="s">
        <v>62</v>
      </c>
      <c r="E51" s="6" t="s">
        <v>61</v>
      </c>
      <c r="F51">
        <v>4</v>
      </c>
      <c r="G51" s="11" t="s">
        <v>10</v>
      </c>
      <c r="H51" s="1">
        <v>1</v>
      </c>
    </row>
    <row r="52" spans="1:8">
      <c r="A52" s="1">
        <v>51</v>
      </c>
      <c r="B52" s="6">
        <v>43</v>
      </c>
      <c r="C52" s="6">
        <v>-2.75</v>
      </c>
      <c r="D52" s="6" t="s">
        <v>63</v>
      </c>
      <c r="E52" s="6" t="s">
        <v>61</v>
      </c>
      <c r="F52">
        <v>4</v>
      </c>
      <c r="G52" s="11" t="s">
        <v>10</v>
      </c>
      <c r="H52" s="1">
        <v>1</v>
      </c>
    </row>
    <row r="53" spans="1:8">
      <c r="A53" s="1">
        <v>52</v>
      </c>
      <c r="B53" s="6">
        <v>39.47</v>
      </c>
      <c r="C53" s="6">
        <v>-0.38</v>
      </c>
      <c r="D53" s="6" t="s">
        <v>64</v>
      </c>
      <c r="E53" s="6" t="s">
        <v>61</v>
      </c>
      <c r="F53">
        <v>4</v>
      </c>
      <c r="G53" s="11" t="s">
        <v>10</v>
      </c>
      <c r="H53" s="1">
        <v>1</v>
      </c>
    </row>
    <row r="54" spans="1:8">
      <c r="A54" s="1">
        <v>53</v>
      </c>
      <c r="B54" s="6">
        <v>41.66</v>
      </c>
      <c r="C54" s="6">
        <v>-0.88</v>
      </c>
      <c r="D54" s="6" t="s">
        <v>65</v>
      </c>
      <c r="E54" s="6" t="s">
        <v>61</v>
      </c>
      <c r="F54">
        <v>4</v>
      </c>
      <c r="G54" s="11" t="s">
        <v>10</v>
      </c>
      <c r="H54" s="1">
        <v>1</v>
      </c>
    </row>
    <row r="55" spans="1:8">
      <c r="A55" s="1">
        <v>54</v>
      </c>
      <c r="B55" s="6">
        <v>41.39</v>
      </c>
      <c r="C55" s="6">
        <v>2.16</v>
      </c>
      <c r="D55" s="14" t="s">
        <v>66</v>
      </c>
      <c r="E55" s="6" t="s">
        <v>61</v>
      </c>
      <c r="F55">
        <v>4</v>
      </c>
      <c r="G55" s="13" t="b">
        <v>1</v>
      </c>
      <c r="H55" s="1">
        <v>1</v>
      </c>
    </row>
    <row r="56" spans="1:8">
      <c r="A56" s="1">
        <v>55</v>
      </c>
      <c r="B56" s="6">
        <v>42.88</v>
      </c>
      <c r="C56" s="6">
        <v>-8.55</v>
      </c>
      <c r="D56" s="6" t="s">
        <v>67</v>
      </c>
      <c r="E56" s="6" t="s">
        <v>61</v>
      </c>
      <c r="F56">
        <v>4</v>
      </c>
      <c r="G56" s="11" t="s">
        <v>10</v>
      </c>
      <c r="H56" s="1">
        <v>1</v>
      </c>
    </row>
    <row r="57" spans="1:8">
      <c r="A57" s="1">
        <v>56</v>
      </c>
      <c r="B57" s="6">
        <v>37.38</v>
      </c>
      <c r="C57" s="6">
        <v>-5.99</v>
      </c>
      <c r="D57" s="6" t="s">
        <v>68</v>
      </c>
      <c r="E57" s="6" t="s">
        <v>61</v>
      </c>
      <c r="F57">
        <v>4</v>
      </c>
      <c r="G57" s="11" t="s">
        <v>10</v>
      </c>
      <c r="H57" s="1">
        <v>1</v>
      </c>
    </row>
    <row r="58" spans="1:8">
      <c r="A58" s="1">
        <v>57</v>
      </c>
      <c r="B58" s="6">
        <v>40.42</v>
      </c>
      <c r="C58" s="6">
        <v>-3.7</v>
      </c>
      <c r="D58" s="14" t="s">
        <v>69</v>
      </c>
      <c r="E58" s="6" t="s">
        <v>61</v>
      </c>
      <c r="F58">
        <v>4</v>
      </c>
      <c r="G58" s="13" t="b">
        <v>1</v>
      </c>
      <c r="H58" s="1">
        <v>1</v>
      </c>
    </row>
    <row r="59" spans="1:8">
      <c r="A59" s="1">
        <v>58</v>
      </c>
      <c r="B59" s="6">
        <v>41.65</v>
      </c>
      <c r="C59" s="6">
        <v>-4.72</v>
      </c>
      <c r="D59" s="6" t="s">
        <v>70</v>
      </c>
      <c r="E59" s="6" t="s">
        <v>61</v>
      </c>
      <c r="F59">
        <v>4</v>
      </c>
      <c r="G59" s="11" t="s">
        <v>10</v>
      </c>
      <c r="H59" s="1">
        <v>1</v>
      </c>
    </row>
    <row r="60" spans="1:8">
      <c r="A60" s="1">
        <v>59</v>
      </c>
      <c r="B60" s="1">
        <v>46.52</v>
      </c>
      <c r="C60" s="1">
        <v>6.634</v>
      </c>
      <c r="D60" s="1" t="s">
        <v>71</v>
      </c>
      <c r="E60" s="1" t="s">
        <v>72</v>
      </c>
      <c r="F60">
        <v>5</v>
      </c>
      <c r="G60" s="11" t="s">
        <v>10</v>
      </c>
      <c r="H60" s="1">
        <v>1</v>
      </c>
    </row>
    <row r="61" spans="1:8">
      <c r="A61" s="1">
        <v>60</v>
      </c>
      <c r="B61" s="1">
        <v>46.948</v>
      </c>
      <c r="C61" s="1">
        <v>7.448</v>
      </c>
      <c r="D61" s="1" t="s">
        <v>73</v>
      </c>
      <c r="E61" s="1" t="s">
        <v>72</v>
      </c>
      <c r="F61">
        <v>5</v>
      </c>
      <c r="G61" s="11" t="s">
        <v>10</v>
      </c>
      <c r="H61" s="1">
        <v>1</v>
      </c>
    </row>
    <row r="62" spans="1:8">
      <c r="A62" s="1">
        <v>61</v>
      </c>
      <c r="B62" s="1">
        <v>47.377</v>
      </c>
      <c r="C62" s="1">
        <v>8.541</v>
      </c>
      <c r="D62" s="12" t="s">
        <v>74</v>
      </c>
      <c r="E62" s="1" t="s">
        <v>72</v>
      </c>
      <c r="F62">
        <v>5</v>
      </c>
      <c r="G62" s="13" t="b">
        <v>1</v>
      </c>
      <c r="H62" s="1">
        <v>1</v>
      </c>
    </row>
    <row r="63" spans="1:8">
      <c r="A63" s="1">
        <v>62</v>
      </c>
      <c r="B63" s="1">
        <v>46.028</v>
      </c>
      <c r="C63" s="1">
        <v>8.923</v>
      </c>
      <c r="D63" s="12" t="s">
        <v>75</v>
      </c>
      <c r="E63" s="1" t="s">
        <v>72</v>
      </c>
      <c r="F63">
        <v>5</v>
      </c>
      <c r="G63" s="13" t="b">
        <v>1</v>
      </c>
      <c r="H63" s="1">
        <v>1</v>
      </c>
    </row>
    <row r="64" spans="1:8">
      <c r="A64" s="1">
        <v>63</v>
      </c>
      <c r="B64" s="1">
        <v>46.99</v>
      </c>
      <c r="C64" s="1">
        <v>6.929</v>
      </c>
      <c r="D64" s="1" t="s">
        <v>76</v>
      </c>
      <c r="E64" s="1" t="s">
        <v>72</v>
      </c>
      <c r="F64">
        <v>5</v>
      </c>
      <c r="G64" s="11" t="s">
        <v>10</v>
      </c>
      <c r="H64" s="1">
        <v>1</v>
      </c>
    </row>
    <row r="65" spans="1:8">
      <c r="A65" s="1">
        <v>64</v>
      </c>
      <c r="B65" s="1">
        <v>46.205</v>
      </c>
      <c r="C65" s="1">
        <v>6.142</v>
      </c>
      <c r="D65" s="12" t="s">
        <v>77</v>
      </c>
      <c r="E65" s="1" t="s">
        <v>72</v>
      </c>
      <c r="F65">
        <v>5</v>
      </c>
      <c r="G65" s="13" t="b">
        <v>1</v>
      </c>
      <c r="H65" s="1">
        <v>1</v>
      </c>
    </row>
    <row r="66" spans="1:8">
      <c r="A66" s="1">
        <v>65</v>
      </c>
      <c r="B66" s="1">
        <v>47.56</v>
      </c>
      <c r="C66" s="1">
        <v>7.589</v>
      </c>
      <c r="D66" s="1" t="s">
        <v>78</v>
      </c>
      <c r="E66" s="1" t="s">
        <v>72</v>
      </c>
      <c r="F66">
        <v>5</v>
      </c>
      <c r="G66" s="11" t="s">
        <v>10</v>
      </c>
      <c r="H66" s="1">
        <v>1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23"/>
  <sheetViews>
    <sheetView tabSelected="1" topLeftCell="A93" workbookViewId="0">
      <selection activeCell="I126" sqref="I126"/>
    </sheetView>
  </sheetViews>
  <sheetFormatPr defaultColWidth="9" defaultRowHeight="14.4"/>
  <cols>
    <col min="2" max="2" width="14.3333333333333" customWidth="1"/>
    <col min="5" max="5" width="17.7777777777778" customWidth="1"/>
    <col min="6" max="6" width="12.8888888888889"/>
    <col min="7" max="7" width="10.7777777777778"/>
    <col min="9" max="12" width="12.8888888888889"/>
  </cols>
  <sheetData>
    <row r="1" spans="1:12">
      <c r="A1" s="1" t="s">
        <v>79</v>
      </c>
      <c r="B1" s="1" t="s">
        <v>80</v>
      </c>
      <c r="C1" s="1" t="s">
        <v>81</v>
      </c>
      <c r="D1" s="1" t="s">
        <v>82</v>
      </c>
      <c r="E1" s="1" t="s">
        <v>83</v>
      </c>
      <c r="F1" s="1" t="s">
        <v>84</v>
      </c>
      <c r="G1" s="1" t="s">
        <v>85</v>
      </c>
      <c r="H1" s="1" t="s">
        <v>86</v>
      </c>
      <c r="I1" t="s">
        <v>87</v>
      </c>
      <c r="J1" t="s">
        <v>88</v>
      </c>
      <c r="K1" t="s">
        <v>89</v>
      </c>
      <c r="L1" t="s">
        <v>90</v>
      </c>
    </row>
    <row r="2" spans="1:12">
      <c r="A2">
        <v>1</v>
      </c>
      <c r="B2">
        <f>_xlfn.XLOOKUP(C2,Nodes!$D:$D,Nodes!$A:$A)</f>
        <v>2</v>
      </c>
      <c r="C2" s="2" t="s">
        <v>11</v>
      </c>
      <c r="D2">
        <f>_xlfn.XLOOKUP(E2,Nodes!$D:$D,Nodes!$A:$A)</f>
        <v>1</v>
      </c>
      <c r="E2" s="2" t="s">
        <v>8</v>
      </c>
      <c r="F2" s="1">
        <f>6371*2*ASIN(SQRT(SIN(RADIANS((K2-I2)/2))^2+COS(RADIANS(I2))*COS(RADIANS(K2))*SIN(RADIANS((L2-J2)/2))^2))</f>
        <v>266.498918222395</v>
      </c>
      <c r="G2" s="3">
        <f>(0.9999)^F2</f>
        <v>0.973700785378713</v>
      </c>
      <c r="H2" s="1" t="s">
        <v>91</v>
      </c>
      <c r="I2">
        <f>_xlfn.XLOOKUP(B2,Nodes!$A:$A,Nodes!$B:$B)</f>
        <v>50.1</v>
      </c>
      <c r="J2">
        <f>_xlfn.XLOOKUP(B2,Nodes!$A:$A,Nodes!$C:$C)</f>
        <v>8.67</v>
      </c>
      <c r="K2">
        <f>_xlfn.XLOOKUP(D2,Nodes!$A:$A,Nodes!$B:$B)</f>
        <v>52.39</v>
      </c>
      <c r="L2">
        <f>_xlfn.XLOOKUP(D2,Nodes!$A:$A,Nodes!$C:$C)</f>
        <v>9.8</v>
      </c>
    </row>
    <row r="3" spans="1:12">
      <c r="A3">
        <v>2</v>
      </c>
      <c r="B3">
        <f>_xlfn.XLOOKUP(C3,Nodes!$D:$D,Nodes!$A:$A)</f>
        <v>3</v>
      </c>
      <c r="C3" s="2" t="s">
        <v>12</v>
      </c>
      <c r="D3">
        <f>_xlfn.XLOOKUP(E3,Nodes!$D:$D,Nodes!$A:$A)</f>
        <v>1</v>
      </c>
      <c r="E3" s="2" t="s">
        <v>8</v>
      </c>
      <c r="F3" s="1">
        <f t="shared" ref="F3:F34" si="0">6371*2*ASIN(SQRT(SIN(RADIANS((K3-I3)/2))^2+COS(RADIANS(I3))*COS(RADIANS(K3))*SIN(RADIANS((L3-J3)/2))^2))</f>
        <v>129.824549138215</v>
      </c>
      <c r="G3" s="3">
        <f t="shared" ref="G3:G34" si="1">(0.9999)^F3</f>
        <v>0.987100812855914</v>
      </c>
      <c r="H3" s="1" t="s">
        <v>91</v>
      </c>
      <c r="I3">
        <f>_xlfn.XLOOKUP(B3,Nodes!$A:$A,Nodes!$B:$B)</f>
        <v>53.55</v>
      </c>
      <c r="J3">
        <f>_xlfn.XLOOKUP(B3,Nodes!$A:$A,Nodes!$C:$C)</f>
        <v>10.02</v>
      </c>
      <c r="K3">
        <f>_xlfn.XLOOKUP(D3,Nodes!$A:$A,Nodes!$B:$B)</f>
        <v>52.39</v>
      </c>
      <c r="L3">
        <f>_xlfn.XLOOKUP(D3,Nodes!$A:$A,Nodes!$C:$C)</f>
        <v>9.8</v>
      </c>
    </row>
    <row r="4" spans="1:12">
      <c r="A4">
        <v>3</v>
      </c>
      <c r="B4">
        <f>_xlfn.XLOOKUP(C4,Nodes!$D:$D,Nodes!$A:$A)</f>
        <v>5</v>
      </c>
      <c r="C4" s="2" t="s">
        <v>14</v>
      </c>
      <c r="D4">
        <f>_xlfn.XLOOKUP(E4,Nodes!$D:$D,Nodes!$A:$A)</f>
        <v>1</v>
      </c>
      <c r="E4" s="2" t="s">
        <v>8</v>
      </c>
      <c r="F4" s="1">
        <f t="shared" si="0"/>
        <v>102.075478115774</v>
      </c>
      <c r="G4" s="3">
        <f t="shared" si="1"/>
        <v>0.989843867167346</v>
      </c>
      <c r="H4" s="1" t="s">
        <v>91</v>
      </c>
      <c r="I4">
        <f>_xlfn.XLOOKUP(B4,Nodes!$A:$A,Nodes!$B:$B)</f>
        <v>53.08</v>
      </c>
      <c r="J4">
        <f>_xlfn.XLOOKUP(B4,Nodes!$A:$A,Nodes!$C:$C)</f>
        <v>8.8</v>
      </c>
      <c r="K4">
        <f>_xlfn.XLOOKUP(D4,Nodes!$A:$A,Nodes!$B:$B)</f>
        <v>52.39</v>
      </c>
      <c r="L4">
        <f>_xlfn.XLOOKUP(D4,Nodes!$A:$A,Nodes!$C:$C)</f>
        <v>9.8</v>
      </c>
    </row>
    <row r="5" spans="1:12">
      <c r="A5">
        <v>4</v>
      </c>
      <c r="B5">
        <f>_xlfn.XLOOKUP(C5,Nodes!$D:$D,Nodes!$A:$A)</f>
        <v>6</v>
      </c>
      <c r="C5" s="2" t="s">
        <v>15</v>
      </c>
      <c r="D5">
        <f>_xlfn.XLOOKUP(E5,Nodes!$D:$D,Nodes!$A:$A)</f>
        <v>1</v>
      </c>
      <c r="E5" s="2" t="s">
        <v>8</v>
      </c>
      <c r="F5" s="1">
        <f t="shared" si="0"/>
        <v>244.340031840376</v>
      </c>
      <c r="G5" s="3">
        <f t="shared" si="1"/>
        <v>0.975860898294401</v>
      </c>
      <c r="H5" s="1" t="s">
        <v>91</v>
      </c>
      <c r="I5">
        <f>_xlfn.XLOOKUP(B5,Nodes!$A:$A,Nodes!$B:$B)</f>
        <v>52.52</v>
      </c>
      <c r="J5">
        <f>_xlfn.XLOOKUP(B5,Nodes!$A:$A,Nodes!$C:$C)</f>
        <v>13.4</v>
      </c>
      <c r="K5">
        <f>_xlfn.XLOOKUP(D5,Nodes!$A:$A,Nodes!$B:$B)</f>
        <v>52.39</v>
      </c>
      <c r="L5">
        <f>_xlfn.XLOOKUP(D5,Nodes!$A:$A,Nodes!$C:$C)</f>
        <v>9.8</v>
      </c>
    </row>
    <row r="6" spans="1:12">
      <c r="A6">
        <v>5</v>
      </c>
      <c r="B6">
        <f>_xlfn.XLOOKUP(C6,Nodes!$D:$D,Nodes!$A:$A)</f>
        <v>14</v>
      </c>
      <c r="C6" s="2" t="s">
        <v>23</v>
      </c>
      <c r="D6">
        <f>_xlfn.XLOOKUP(E6,Nodes!$D:$D,Nodes!$A:$A)</f>
        <v>1</v>
      </c>
      <c r="E6" s="2" t="s">
        <v>8</v>
      </c>
      <c r="F6" s="1">
        <f t="shared" si="0"/>
        <v>186.684593080072</v>
      </c>
      <c r="G6" s="3">
        <f t="shared" si="1"/>
        <v>0.981503800839037</v>
      </c>
      <c r="H6" s="1" t="s">
        <v>91</v>
      </c>
      <c r="I6">
        <f>_xlfn.XLOOKUP(B6,Nodes!$A:$A,Nodes!$B:$B)</f>
        <v>51.51</v>
      </c>
      <c r="J6">
        <f>_xlfn.XLOOKUP(B6,Nodes!$A:$A,Nodes!$C:$C)</f>
        <v>7.48</v>
      </c>
      <c r="K6">
        <f>_xlfn.XLOOKUP(D6,Nodes!$A:$A,Nodes!$B:$B)</f>
        <v>52.39</v>
      </c>
      <c r="L6">
        <f>_xlfn.XLOOKUP(D6,Nodes!$A:$A,Nodes!$C:$C)</f>
        <v>9.8</v>
      </c>
    </row>
    <row r="7" spans="1:12">
      <c r="A7">
        <v>6</v>
      </c>
      <c r="B7">
        <f>_xlfn.XLOOKUP(C7,Nodes!$D:$D,Nodes!$A:$A)</f>
        <v>15</v>
      </c>
      <c r="C7" s="2" t="s">
        <v>24</v>
      </c>
      <c r="D7">
        <f>_xlfn.XLOOKUP(E7,Nodes!$D:$D,Nodes!$A:$A)</f>
        <v>2</v>
      </c>
      <c r="E7" s="2" t="s">
        <v>11</v>
      </c>
      <c r="F7" s="1">
        <f t="shared" si="0"/>
        <v>183.10841072907</v>
      </c>
      <c r="G7" s="3">
        <f t="shared" si="1"/>
        <v>0.981854884823805</v>
      </c>
      <c r="H7" s="1" t="s">
        <v>91</v>
      </c>
      <c r="I7">
        <f>_xlfn.XLOOKUP(B7,Nodes!$A:$A,Nodes!$B:$B)</f>
        <v>51.23</v>
      </c>
      <c r="J7">
        <f>_xlfn.XLOOKUP(B7,Nodes!$A:$A,Nodes!$C:$C)</f>
        <v>6.78</v>
      </c>
      <c r="K7">
        <f>_xlfn.XLOOKUP(D7,Nodes!$A:$A,Nodes!$B:$B)</f>
        <v>50.1</v>
      </c>
      <c r="L7">
        <f>_xlfn.XLOOKUP(D7,Nodes!$A:$A,Nodes!$C:$C)</f>
        <v>8.67</v>
      </c>
    </row>
    <row r="8" spans="1:12">
      <c r="A8">
        <v>7</v>
      </c>
      <c r="B8">
        <f>_xlfn.XLOOKUP(C8,Nodes!$D:$D,Nodes!$A:$A)</f>
        <v>2</v>
      </c>
      <c r="C8" s="2" t="s">
        <v>11</v>
      </c>
      <c r="D8">
        <f>_xlfn.XLOOKUP(E8,Nodes!$D:$D,Nodes!$A:$A)</f>
        <v>3</v>
      </c>
      <c r="E8" s="2" t="s">
        <v>12</v>
      </c>
      <c r="F8" s="1">
        <f t="shared" si="0"/>
        <v>394.662930603521</v>
      </c>
      <c r="G8" s="3">
        <f t="shared" si="1"/>
        <v>0.961300458928384</v>
      </c>
      <c r="H8" s="1" t="s">
        <v>91</v>
      </c>
      <c r="I8">
        <f>_xlfn.XLOOKUP(B8,Nodes!$A:$A,Nodes!$B:$B)</f>
        <v>50.1</v>
      </c>
      <c r="J8">
        <f>_xlfn.XLOOKUP(B8,Nodes!$A:$A,Nodes!$C:$C)</f>
        <v>8.67</v>
      </c>
      <c r="K8">
        <f>_xlfn.XLOOKUP(D8,Nodes!$A:$A,Nodes!$B:$B)</f>
        <v>53.55</v>
      </c>
      <c r="L8">
        <f>_xlfn.XLOOKUP(D8,Nodes!$A:$A,Nodes!$C:$C)</f>
        <v>10.02</v>
      </c>
    </row>
    <row r="9" spans="1:12">
      <c r="A9">
        <v>8</v>
      </c>
      <c r="B9">
        <f>_xlfn.XLOOKUP(C9,Nodes!$D:$D,Nodes!$A:$A)</f>
        <v>5</v>
      </c>
      <c r="C9" s="2" t="s">
        <v>14</v>
      </c>
      <c r="D9">
        <f>_xlfn.XLOOKUP(E9,Nodes!$D:$D,Nodes!$A:$A)</f>
        <v>3</v>
      </c>
      <c r="E9" s="2" t="s">
        <v>12</v>
      </c>
      <c r="F9" s="1">
        <f t="shared" si="0"/>
        <v>96.4314135727881</v>
      </c>
      <c r="G9" s="3">
        <f t="shared" si="1"/>
        <v>0.990402727075417</v>
      </c>
      <c r="H9" s="1" t="s">
        <v>91</v>
      </c>
      <c r="I9">
        <f>_xlfn.XLOOKUP(B9,Nodes!$A:$A,Nodes!$B:$B)</f>
        <v>53.08</v>
      </c>
      <c r="J9">
        <f>_xlfn.XLOOKUP(B9,Nodes!$A:$A,Nodes!$C:$C)</f>
        <v>8.8</v>
      </c>
      <c r="K9">
        <f>_xlfn.XLOOKUP(D9,Nodes!$A:$A,Nodes!$B:$B)</f>
        <v>53.55</v>
      </c>
      <c r="L9">
        <f>_xlfn.XLOOKUP(D9,Nodes!$A:$A,Nodes!$C:$C)</f>
        <v>10.02</v>
      </c>
    </row>
    <row r="10" spans="1:12">
      <c r="A10">
        <v>9</v>
      </c>
      <c r="B10">
        <f>_xlfn.XLOOKUP(C10,Nodes!$D:$D,Nodes!$A:$A)</f>
        <v>6</v>
      </c>
      <c r="C10" s="2" t="s">
        <v>15</v>
      </c>
      <c r="D10">
        <f>_xlfn.XLOOKUP(E10,Nodes!$D:$D,Nodes!$A:$A)</f>
        <v>3</v>
      </c>
      <c r="E10" s="2" t="s">
        <v>12</v>
      </c>
      <c r="F10" s="1">
        <f t="shared" si="0"/>
        <v>253.330053387685</v>
      </c>
      <c r="G10" s="3">
        <f t="shared" si="1"/>
        <v>0.974983947645181</v>
      </c>
      <c r="H10" s="1" t="s">
        <v>91</v>
      </c>
      <c r="I10">
        <f>_xlfn.XLOOKUP(B10,Nodes!$A:$A,Nodes!$B:$B)</f>
        <v>52.52</v>
      </c>
      <c r="J10">
        <f>_xlfn.XLOOKUP(B10,Nodes!$A:$A,Nodes!$C:$C)</f>
        <v>13.4</v>
      </c>
      <c r="K10">
        <f>_xlfn.XLOOKUP(D10,Nodes!$A:$A,Nodes!$B:$B)</f>
        <v>53.55</v>
      </c>
      <c r="L10">
        <f>_xlfn.XLOOKUP(D10,Nodes!$A:$A,Nodes!$C:$C)</f>
        <v>10.02</v>
      </c>
    </row>
    <row r="11" spans="1:12">
      <c r="A11">
        <v>10</v>
      </c>
      <c r="B11">
        <f>_xlfn.XLOOKUP(C11,Nodes!$D:$D,Nodes!$A:$A)</f>
        <v>5</v>
      </c>
      <c r="C11" s="2" t="s">
        <v>14</v>
      </c>
      <c r="D11">
        <f>_xlfn.XLOOKUP(E11,Nodes!$D:$D,Nodes!$A:$A)</f>
        <v>4</v>
      </c>
      <c r="E11" s="2" t="s">
        <v>13</v>
      </c>
      <c r="F11" s="1">
        <f t="shared" si="0"/>
        <v>120.355740698587</v>
      </c>
      <c r="G11" s="3">
        <f t="shared" si="1"/>
        <v>0.98803596913617</v>
      </c>
      <c r="H11" s="1" t="s">
        <v>91</v>
      </c>
      <c r="I11">
        <f>_xlfn.XLOOKUP(B11,Nodes!$A:$A,Nodes!$B:$B)</f>
        <v>53.08</v>
      </c>
      <c r="J11">
        <f>_xlfn.XLOOKUP(B11,Nodes!$A:$A,Nodes!$C:$C)</f>
        <v>8.8</v>
      </c>
      <c r="K11">
        <f>_xlfn.XLOOKUP(D11,Nodes!$A:$A,Nodes!$B:$B)</f>
        <v>53.6</v>
      </c>
      <c r="L11">
        <f>_xlfn.XLOOKUP(D11,Nodes!$A:$A,Nodes!$C:$C)</f>
        <v>7.21</v>
      </c>
    </row>
    <row r="12" spans="1:12">
      <c r="A12">
        <v>11</v>
      </c>
      <c r="B12">
        <f>_xlfn.XLOOKUP(C12,Nodes!$D:$D,Nodes!$A:$A)</f>
        <v>14</v>
      </c>
      <c r="C12" s="2" t="s">
        <v>23</v>
      </c>
      <c r="D12">
        <f>_xlfn.XLOOKUP(E12,Nodes!$D:$D,Nodes!$A:$A)</f>
        <v>4</v>
      </c>
      <c r="E12" s="2" t="s">
        <v>13</v>
      </c>
      <c r="F12" s="1">
        <f t="shared" si="0"/>
        <v>233.112682838056</v>
      </c>
      <c r="G12" s="3">
        <f t="shared" si="1"/>
        <v>0.976957201512538</v>
      </c>
      <c r="H12" s="1" t="s">
        <v>91</v>
      </c>
      <c r="I12">
        <f>_xlfn.XLOOKUP(B12,Nodes!$A:$A,Nodes!$B:$B)</f>
        <v>51.51</v>
      </c>
      <c r="J12">
        <f>_xlfn.XLOOKUP(B12,Nodes!$A:$A,Nodes!$C:$C)</f>
        <v>7.48</v>
      </c>
      <c r="K12">
        <f>_xlfn.XLOOKUP(D12,Nodes!$A:$A,Nodes!$B:$B)</f>
        <v>53.6</v>
      </c>
      <c r="L12">
        <f>_xlfn.XLOOKUP(D12,Nodes!$A:$A,Nodes!$C:$C)</f>
        <v>7.21</v>
      </c>
    </row>
    <row r="13" spans="1:12">
      <c r="A13">
        <v>12</v>
      </c>
      <c r="B13">
        <f>_xlfn.XLOOKUP(C13,Nodes!$D:$D,Nodes!$A:$A)</f>
        <v>2</v>
      </c>
      <c r="C13" s="2" t="s">
        <v>11</v>
      </c>
      <c r="D13">
        <f>_xlfn.XLOOKUP(E13,Nodes!$D:$D,Nodes!$A:$A)</f>
        <v>7</v>
      </c>
      <c r="E13" s="2" t="s">
        <v>16</v>
      </c>
      <c r="F13" s="1">
        <f t="shared" si="0"/>
        <v>304.149139609311</v>
      </c>
      <c r="G13" s="3">
        <f t="shared" si="1"/>
        <v>0.970041490383712</v>
      </c>
      <c r="H13" s="1" t="s">
        <v>91</v>
      </c>
      <c r="I13">
        <f>_xlfn.XLOOKUP(B13,Nodes!$A:$A,Nodes!$B:$B)</f>
        <v>50.1</v>
      </c>
      <c r="J13">
        <f>_xlfn.XLOOKUP(B13,Nodes!$A:$A,Nodes!$C:$C)</f>
        <v>8.67</v>
      </c>
      <c r="K13">
        <f>_xlfn.XLOOKUP(D13,Nodes!$A:$A,Nodes!$B:$B)</f>
        <v>48.13</v>
      </c>
      <c r="L13">
        <f>_xlfn.XLOOKUP(D13,Nodes!$A:$A,Nodes!$C:$C)</f>
        <v>11.57</v>
      </c>
    </row>
    <row r="14" spans="1:12">
      <c r="A14">
        <v>13</v>
      </c>
      <c r="B14">
        <f>_xlfn.XLOOKUP(C14,Nodes!$D:$D,Nodes!$A:$A)</f>
        <v>6</v>
      </c>
      <c r="C14" s="2" t="s">
        <v>15</v>
      </c>
      <c r="D14">
        <f>_xlfn.XLOOKUP(E14,Nodes!$D:$D,Nodes!$A:$A)</f>
        <v>7</v>
      </c>
      <c r="E14" s="2" t="s">
        <v>16</v>
      </c>
      <c r="F14" s="1">
        <f t="shared" si="0"/>
        <v>505.092435700466</v>
      </c>
      <c r="G14" s="3">
        <f t="shared" si="1"/>
        <v>0.950742739124469</v>
      </c>
      <c r="H14" s="1" t="s">
        <v>91</v>
      </c>
      <c r="I14">
        <f>_xlfn.XLOOKUP(B14,Nodes!$A:$A,Nodes!$B:$B)</f>
        <v>52.52</v>
      </c>
      <c r="J14">
        <f>_xlfn.XLOOKUP(B14,Nodes!$A:$A,Nodes!$C:$C)</f>
        <v>13.4</v>
      </c>
      <c r="K14">
        <f>_xlfn.XLOOKUP(D14,Nodes!$A:$A,Nodes!$B:$B)</f>
        <v>48.13</v>
      </c>
      <c r="L14">
        <f>_xlfn.XLOOKUP(D14,Nodes!$A:$A,Nodes!$C:$C)</f>
        <v>11.57</v>
      </c>
    </row>
    <row r="15" spans="1:12">
      <c r="A15">
        <v>14</v>
      </c>
      <c r="B15">
        <f>_xlfn.XLOOKUP(C15,Nodes!$D:$D,Nodes!$A:$A)</f>
        <v>7</v>
      </c>
      <c r="C15" s="2" t="s">
        <v>16</v>
      </c>
      <c r="D15">
        <f>_xlfn.XLOOKUP(E15,Nodes!$D:$D,Nodes!$A:$A)</f>
        <v>8</v>
      </c>
      <c r="E15" s="2" t="s">
        <v>17</v>
      </c>
      <c r="F15" s="1">
        <f t="shared" si="0"/>
        <v>120.742618161443</v>
      </c>
      <c r="G15" s="3">
        <f t="shared" si="1"/>
        <v>0.987997743079385</v>
      </c>
      <c r="H15" s="1" t="s">
        <v>91</v>
      </c>
      <c r="I15">
        <f>_xlfn.XLOOKUP(B15,Nodes!$A:$A,Nodes!$B:$B)</f>
        <v>48.13</v>
      </c>
      <c r="J15">
        <f>_xlfn.XLOOKUP(B15,Nodes!$A:$A,Nodes!$C:$C)</f>
        <v>11.57</v>
      </c>
      <c r="K15">
        <f>_xlfn.XLOOKUP(D15,Nodes!$A:$A,Nodes!$B:$B)</f>
        <v>48.4</v>
      </c>
      <c r="L15">
        <f>_xlfn.XLOOKUP(D15,Nodes!$A:$A,Nodes!$C:$C)</f>
        <v>9.99</v>
      </c>
    </row>
    <row r="16" spans="1:12">
      <c r="A16">
        <v>15</v>
      </c>
      <c r="B16">
        <f>_xlfn.XLOOKUP(C16,Nodes!$D:$D,Nodes!$A:$A)</f>
        <v>10</v>
      </c>
      <c r="C16" s="2" t="s">
        <v>19</v>
      </c>
      <c r="D16">
        <f>_xlfn.XLOOKUP(E16,Nodes!$D:$D,Nodes!$A:$A)</f>
        <v>8</v>
      </c>
      <c r="E16" s="2" t="s">
        <v>17</v>
      </c>
      <c r="F16" s="1">
        <f t="shared" si="0"/>
        <v>73.7892387546033</v>
      </c>
      <c r="G16" s="3">
        <f t="shared" si="1"/>
        <v>0.992647867286617</v>
      </c>
      <c r="H16" s="1" t="s">
        <v>91</v>
      </c>
      <c r="I16">
        <f>_xlfn.XLOOKUP(B16,Nodes!$A:$A,Nodes!$B:$B)</f>
        <v>48.73</v>
      </c>
      <c r="J16">
        <f>_xlfn.XLOOKUP(B16,Nodes!$A:$A,Nodes!$C:$C)</f>
        <v>9.12</v>
      </c>
      <c r="K16">
        <f>_xlfn.XLOOKUP(D16,Nodes!$A:$A,Nodes!$B:$B)</f>
        <v>48.4</v>
      </c>
      <c r="L16">
        <f>_xlfn.XLOOKUP(D16,Nodes!$A:$A,Nodes!$C:$C)</f>
        <v>9.99</v>
      </c>
    </row>
    <row r="17" spans="1:12">
      <c r="A17">
        <v>16</v>
      </c>
      <c r="B17">
        <f>_xlfn.XLOOKUP(C17,Nodes!$D:$D,Nodes!$A:$A)</f>
        <v>2</v>
      </c>
      <c r="C17" s="2" t="s">
        <v>11</v>
      </c>
      <c r="D17">
        <f>_xlfn.XLOOKUP(E17,Nodes!$D:$D,Nodes!$A:$A)</f>
        <v>9</v>
      </c>
      <c r="E17" s="2" t="s">
        <v>18</v>
      </c>
      <c r="F17" s="1">
        <f t="shared" si="0"/>
        <v>187.534160554616</v>
      </c>
      <c r="G17" s="3">
        <f t="shared" si="1"/>
        <v>0.981420414841286</v>
      </c>
      <c r="H17" s="1" t="s">
        <v>91</v>
      </c>
      <c r="I17">
        <f>_xlfn.XLOOKUP(B17,Nodes!$A:$A,Nodes!$B:$B)</f>
        <v>50.1</v>
      </c>
      <c r="J17">
        <f>_xlfn.XLOOKUP(B17,Nodes!$A:$A,Nodes!$C:$C)</f>
        <v>8.67</v>
      </c>
      <c r="K17">
        <f>_xlfn.XLOOKUP(D17,Nodes!$A:$A,Nodes!$B:$B)</f>
        <v>49.45</v>
      </c>
      <c r="L17">
        <f>_xlfn.XLOOKUP(D17,Nodes!$A:$A,Nodes!$C:$C)</f>
        <v>11.08</v>
      </c>
    </row>
    <row r="18" spans="1:12">
      <c r="A18">
        <v>17</v>
      </c>
      <c r="B18">
        <f>_xlfn.XLOOKUP(C18,Nodes!$D:$D,Nodes!$A:$A)</f>
        <v>7</v>
      </c>
      <c r="C18" s="2" t="s">
        <v>16</v>
      </c>
      <c r="D18">
        <f>_xlfn.XLOOKUP(E18,Nodes!$D:$D,Nodes!$A:$A)</f>
        <v>9</v>
      </c>
      <c r="E18" s="2" t="s">
        <v>18</v>
      </c>
      <c r="F18" s="1">
        <f t="shared" si="0"/>
        <v>151.102047241511</v>
      </c>
      <c r="G18" s="3">
        <f t="shared" si="1"/>
        <v>0.985002637365943</v>
      </c>
      <c r="H18" s="1" t="s">
        <v>91</v>
      </c>
      <c r="I18">
        <f>_xlfn.XLOOKUP(B18,Nodes!$A:$A,Nodes!$B:$B)</f>
        <v>48.13</v>
      </c>
      <c r="J18">
        <f>_xlfn.XLOOKUP(B18,Nodes!$A:$A,Nodes!$C:$C)</f>
        <v>11.57</v>
      </c>
      <c r="K18">
        <f>_xlfn.XLOOKUP(D18,Nodes!$A:$A,Nodes!$B:$B)</f>
        <v>49.45</v>
      </c>
      <c r="L18">
        <f>_xlfn.XLOOKUP(D18,Nodes!$A:$A,Nodes!$C:$C)</f>
        <v>11.08</v>
      </c>
    </row>
    <row r="19" spans="1:12">
      <c r="A19">
        <v>18</v>
      </c>
      <c r="B19">
        <f>_xlfn.XLOOKUP(C19,Nodes!$D:$D,Nodes!$A:$A)</f>
        <v>17</v>
      </c>
      <c r="C19" s="2" t="s">
        <v>26</v>
      </c>
      <c r="D19">
        <f>_xlfn.XLOOKUP(E19,Nodes!$D:$D,Nodes!$A:$A)</f>
        <v>9</v>
      </c>
      <c r="E19" s="2" t="s">
        <v>18</v>
      </c>
      <c r="F19" s="1">
        <f t="shared" si="0"/>
        <v>229.464814490452</v>
      </c>
      <c r="G19" s="3">
        <f t="shared" si="1"/>
        <v>0.977313665473997</v>
      </c>
      <c r="H19" s="1" t="s">
        <v>91</v>
      </c>
      <c r="I19">
        <f>_xlfn.XLOOKUP(B19,Nodes!$A:$A,Nodes!$B:$B)</f>
        <v>51.34</v>
      </c>
      <c r="J19">
        <f>_xlfn.XLOOKUP(B19,Nodes!$A:$A,Nodes!$C:$C)</f>
        <v>12.38</v>
      </c>
      <c r="K19">
        <f>_xlfn.XLOOKUP(D19,Nodes!$A:$A,Nodes!$B:$B)</f>
        <v>49.45</v>
      </c>
      <c r="L19">
        <f>_xlfn.XLOOKUP(D19,Nodes!$A:$A,Nodes!$C:$C)</f>
        <v>11.08</v>
      </c>
    </row>
    <row r="20" spans="1:12">
      <c r="A20">
        <v>19</v>
      </c>
      <c r="B20">
        <f>_xlfn.XLOOKUP(C20,Nodes!$D:$D,Nodes!$A:$A)</f>
        <v>9</v>
      </c>
      <c r="C20" s="2" t="s">
        <v>18</v>
      </c>
      <c r="D20">
        <f>_xlfn.XLOOKUP(E20,Nodes!$D:$D,Nodes!$A:$A)</f>
        <v>10</v>
      </c>
      <c r="E20" s="2" t="s">
        <v>19</v>
      </c>
      <c r="F20" s="1">
        <f t="shared" si="0"/>
        <v>163.638057111158</v>
      </c>
      <c r="G20" s="3">
        <f t="shared" si="1"/>
        <v>0.983768549070911</v>
      </c>
      <c r="H20" s="1" t="s">
        <v>91</v>
      </c>
      <c r="I20">
        <f>_xlfn.XLOOKUP(B20,Nodes!$A:$A,Nodes!$B:$B)</f>
        <v>49.45</v>
      </c>
      <c r="J20">
        <f>_xlfn.XLOOKUP(B20,Nodes!$A:$A,Nodes!$C:$C)</f>
        <v>11.08</v>
      </c>
      <c r="K20">
        <f>_xlfn.XLOOKUP(D20,Nodes!$A:$A,Nodes!$B:$B)</f>
        <v>48.73</v>
      </c>
      <c r="L20">
        <f>_xlfn.XLOOKUP(D20,Nodes!$A:$A,Nodes!$C:$C)</f>
        <v>9.12</v>
      </c>
    </row>
    <row r="21" spans="1:12">
      <c r="A21">
        <v>20</v>
      </c>
      <c r="B21">
        <f>_xlfn.XLOOKUP(C21,Nodes!$D:$D,Nodes!$A:$A)</f>
        <v>11</v>
      </c>
      <c r="C21" s="2" t="s">
        <v>20</v>
      </c>
      <c r="D21">
        <f>_xlfn.XLOOKUP(E21,Nodes!$D:$D,Nodes!$A:$A)</f>
        <v>10</v>
      </c>
      <c r="E21" s="2" t="s">
        <v>19</v>
      </c>
      <c r="F21" s="1">
        <f t="shared" si="0"/>
        <v>60.5477243636347</v>
      </c>
      <c r="G21" s="3">
        <f t="shared" si="1"/>
        <v>0.993963219828102</v>
      </c>
      <c r="H21" s="1" t="s">
        <v>91</v>
      </c>
      <c r="I21">
        <f>_xlfn.XLOOKUP(B21,Nodes!$A:$A,Nodes!$B:$B)</f>
        <v>49.01</v>
      </c>
      <c r="J21">
        <f>_xlfn.XLOOKUP(B21,Nodes!$A:$A,Nodes!$C:$C)</f>
        <v>8.41</v>
      </c>
      <c r="K21">
        <f>_xlfn.XLOOKUP(D21,Nodes!$A:$A,Nodes!$B:$B)</f>
        <v>48.73</v>
      </c>
      <c r="L21">
        <f>_xlfn.XLOOKUP(D21,Nodes!$A:$A,Nodes!$C:$C)</f>
        <v>9.12</v>
      </c>
    </row>
    <row r="22" spans="1:12">
      <c r="A22">
        <v>21</v>
      </c>
      <c r="B22">
        <f>_xlfn.XLOOKUP(C22,Nodes!$D:$D,Nodes!$A:$A)</f>
        <v>2</v>
      </c>
      <c r="C22" s="2" t="s">
        <v>11</v>
      </c>
      <c r="D22">
        <f>_xlfn.XLOOKUP(E22,Nodes!$D:$D,Nodes!$A:$A)</f>
        <v>12</v>
      </c>
      <c r="E22" s="2" t="s">
        <v>21</v>
      </c>
      <c r="F22" s="1">
        <f t="shared" si="0"/>
        <v>69.0484202631884</v>
      </c>
      <c r="G22" s="3">
        <f t="shared" si="1"/>
        <v>0.993118598733851</v>
      </c>
      <c r="H22" s="1" t="s">
        <v>91</v>
      </c>
      <c r="I22">
        <f>_xlfn.XLOOKUP(B22,Nodes!$A:$A,Nodes!$B:$B)</f>
        <v>50.1</v>
      </c>
      <c r="J22">
        <f>_xlfn.XLOOKUP(B22,Nodes!$A:$A,Nodes!$C:$C)</f>
        <v>8.67</v>
      </c>
      <c r="K22">
        <f>_xlfn.XLOOKUP(D22,Nodes!$A:$A,Nodes!$B:$B)</f>
        <v>49.49</v>
      </c>
      <c r="L22">
        <f>_xlfn.XLOOKUP(D22,Nodes!$A:$A,Nodes!$C:$C)</f>
        <v>8.49</v>
      </c>
    </row>
    <row r="23" spans="1:12">
      <c r="A23">
        <v>22</v>
      </c>
      <c r="B23">
        <f>_xlfn.XLOOKUP(C23,Nodes!$D:$D,Nodes!$A:$A)</f>
        <v>11</v>
      </c>
      <c r="C23" s="2" t="s">
        <v>20</v>
      </c>
      <c r="D23">
        <f>_xlfn.XLOOKUP(E23,Nodes!$D:$D,Nodes!$A:$A)</f>
        <v>12</v>
      </c>
      <c r="E23" s="2" t="s">
        <v>21</v>
      </c>
      <c r="F23" s="1">
        <f t="shared" si="0"/>
        <v>53.68849058592</v>
      </c>
      <c r="G23" s="3">
        <f t="shared" si="1"/>
        <v>0.994645270430809</v>
      </c>
      <c r="H23" s="1" t="s">
        <v>91</v>
      </c>
      <c r="I23">
        <f>_xlfn.XLOOKUP(B23,Nodes!$A:$A,Nodes!$B:$B)</f>
        <v>49.01</v>
      </c>
      <c r="J23">
        <f>_xlfn.XLOOKUP(B23,Nodes!$A:$A,Nodes!$C:$C)</f>
        <v>8.41</v>
      </c>
      <c r="K23">
        <f>_xlfn.XLOOKUP(D23,Nodes!$A:$A,Nodes!$B:$B)</f>
        <v>49.49</v>
      </c>
      <c r="L23">
        <f>_xlfn.XLOOKUP(D23,Nodes!$A:$A,Nodes!$C:$C)</f>
        <v>8.49</v>
      </c>
    </row>
    <row r="24" spans="1:12">
      <c r="A24">
        <v>23</v>
      </c>
      <c r="B24">
        <f>_xlfn.XLOOKUP(C24,Nodes!$D:$D,Nodes!$A:$A)</f>
        <v>14</v>
      </c>
      <c r="C24" s="2" t="s">
        <v>23</v>
      </c>
      <c r="D24">
        <f>_xlfn.XLOOKUP(E24,Nodes!$D:$D,Nodes!$A:$A)</f>
        <v>13</v>
      </c>
      <c r="E24" s="2" t="s">
        <v>22</v>
      </c>
      <c r="F24" s="1">
        <f t="shared" si="0"/>
        <v>34.1430389617937</v>
      </c>
      <c r="G24" s="3">
        <f t="shared" si="1"/>
        <v>0.996591348066692</v>
      </c>
      <c r="H24" s="1" t="s">
        <v>91</v>
      </c>
      <c r="I24">
        <f>_xlfn.XLOOKUP(B24,Nodes!$A:$A,Nodes!$B:$B)</f>
        <v>51.51</v>
      </c>
      <c r="J24">
        <f>_xlfn.XLOOKUP(B24,Nodes!$A:$A,Nodes!$C:$C)</f>
        <v>7.48</v>
      </c>
      <c r="K24">
        <f>_xlfn.XLOOKUP(D24,Nodes!$A:$A,Nodes!$B:$B)</f>
        <v>51.44</v>
      </c>
      <c r="L24">
        <f>_xlfn.XLOOKUP(D24,Nodes!$A:$A,Nodes!$C:$C)</f>
        <v>7</v>
      </c>
    </row>
    <row r="25" spans="1:12">
      <c r="A25">
        <v>24</v>
      </c>
      <c r="B25">
        <f>_xlfn.XLOOKUP(C25,Nodes!$D:$D,Nodes!$A:$A)</f>
        <v>15</v>
      </c>
      <c r="C25" s="2" t="s">
        <v>24</v>
      </c>
      <c r="D25">
        <f>_xlfn.XLOOKUP(E25,Nodes!$D:$D,Nodes!$A:$A)</f>
        <v>13</v>
      </c>
      <c r="E25" s="2" t="s">
        <v>22</v>
      </c>
      <c r="F25" s="1">
        <f t="shared" si="0"/>
        <v>27.9079217443073</v>
      </c>
      <c r="G25" s="3">
        <f t="shared" si="1"/>
        <v>0.997212959305892</v>
      </c>
      <c r="H25" s="1" t="s">
        <v>91</v>
      </c>
      <c r="I25">
        <f>_xlfn.XLOOKUP(B25,Nodes!$A:$A,Nodes!$B:$B)</f>
        <v>51.23</v>
      </c>
      <c r="J25">
        <f>_xlfn.XLOOKUP(B25,Nodes!$A:$A,Nodes!$C:$C)</f>
        <v>6.78</v>
      </c>
      <c r="K25">
        <f>_xlfn.XLOOKUP(D25,Nodes!$A:$A,Nodes!$B:$B)</f>
        <v>51.44</v>
      </c>
      <c r="L25">
        <f>_xlfn.XLOOKUP(D25,Nodes!$A:$A,Nodes!$C:$C)</f>
        <v>7</v>
      </c>
    </row>
    <row r="26" spans="1:12">
      <c r="A26">
        <v>25</v>
      </c>
      <c r="B26">
        <f>_xlfn.XLOOKUP(C26,Nodes!$D:$D,Nodes!$A:$A)</f>
        <v>2</v>
      </c>
      <c r="C26" s="2" t="s">
        <v>11</v>
      </c>
      <c r="D26">
        <f>_xlfn.XLOOKUP(E26,Nodes!$D:$D,Nodes!$A:$A)</f>
        <v>16</v>
      </c>
      <c r="E26" s="2" t="s">
        <v>25</v>
      </c>
      <c r="F26" s="1">
        <f t="shared" si="0"/>
        <v>148.630718713433</v>
      </c>
      <c r="G26" s="3">
        <f t="shared" si="1"/>
        <v>0.985246106134706</v>
      </c>
      <c r="H26" s="1" t="s">
        <v>91</v>
      </c>
      <c r="I26">
        <f>_xlfn.XLOOKUP(B26,Nodes!$A:$A,Nodes!$B:$B)</f>
        <v>50.1</v>
      </c>
      <c r="J26">
        <f>_xlfn.XLOOKUP(B26,Nodes!$A:$A,Nodes!$C:$C)</f>
        <v>8.67</v>
      </c>
      <c r="K26">
        <f>_xlfn.XLOOKUP(D26,Nodes!$A:$A,Nodes!$B:$B)</f>
        <v>50.92</v>
      </c>
      <c r="L26">
        <f>_xlfn.XLOOKUP(D26,Nodes!$A:$A,Nodes!$C:$C)</f>
        <v>7.01</v>
      </c>
    </row>
    <row r="27" spans="1:12">
      <c r="A27">
        <v>26</v>
      </c>
      <c r="B27">
        <f>_xlfn.XLOOKUP(C27,Nodes!$D:$D,Nodes!$A:$A)</f>
        <v>14</v>
      </c>
      <c r="C27" s="2" t="s">
        <v>23</v>
      </c>
      <c r="D27">
        <f>_xlfn.XLOOKUP(E27,Nodes!$D:$D,Nodes!$A:$A)</f>
        <v>16</v>
      </c>
      <c r="E27" s="2" t="s">
        <v>25</v>
      </c>
      <c r="F27" s="1">
        <f t="shared" si="0"/>
        <v>73.3188169662432</v>
      </c>
      <c r="G27" s="3">
        <f t="shared" si="1"/>
        <v>0.992694567038558</v>
      </c>
      <c r="H27" s="1" t="s">
        <v>91</v>
      </c>
      <c r="I27">
        <f>_xlfn.XLOOKUP(B27,Nodes!$A:$A,Nodes!$B:$B)</f>
        <v>51.51</v>
      </c>
      <c r="J27">
        <f>_xlfn.XLOOKUP(B27,Nodes!$A:$A,Nodes!$C:$C)</f>
        <v>7.48</v>
      </c>
      <c r="K27">
        <f>_xlfn.XLOOKUP(D27,Nodes!$A:$A,Nodes!$B:$B)</f>
        <v>50.92</v>
      </c>
      <c r="L27">
        <f>_xlfn.XLOOKUP(D27,Nodes!$A:$A,Nodes!$C:$C)</f>
        <v>7.01</v>
      </c>
    </row>
    <row r="28" spans="1:12">
      <c r="A28">
        <v>27</v>
      </c>
      <c r="B28">
        <f>_xlfn.XLOOKUP(C28,Nodes!$D:$D,Nodes!$A:$A)</f>
        <v>15</v>
      </c>
      <c r="C28" s="2" t="s">
        <v>24</v>
      </c>
      <c r="D28">
        <f>_xlfn.XLOOKUP(E28,Nodes!$D:$D,Nodes!$A:$A)</f>
        <v>16</v>
      </c>
      <c r="E28" s="2" t="s">
        <v>25</v>
      </c>
      <c r="F28" s="1">
        <f t="shared" si="0"/>
        <v>38.0317079750438</v>
      </c>
      <c r="G28" s="3">
        <f t="shared" si="1"/>
        <v>0.996203862647698</v>
      </c>
      <c r="H28" s="1" t="s">
        <v>91</v>
      </c>
      <c r="I28">
        <f>_xlfn.XLOOKUP(B28,Nodes!$A:$A,Nodes!$B:$B)</f>
        <v>51.23</v>
      </c>
      <c r="J28">
        <f>_xlfn.XLOOKUP(B28,Nodes!$A:$A,Nodes!$C:$C)</f>
        <v>6.78</v>
      </c>
      <c r="K28">
        <f>_xlfn.XLOOKUP(D28,Nodes!$A:$A,Nodes!$B:$B)</f>
        <v>50.92</v>
      </c>
      <c r="L28">
        <f>_xlfn.XLOOKUP(D28,Nodes!$A:$A,Nodes!$C:$C)</f>
        <v>7.01</v>
      </c>
    </row>
    <row r="29" spans="1:12">
      <c r="A29">
        <v>28</v>
      </c>
      <c r="B29">
        <f>_xlfn.XLOOKUP(C29,Nodes!$D:$D,Nodes!$A:$A)</f>
        <v>1</v>
      </c>
      <c r="C29" s="2" t="s">
        <v>8</v>
      </c>
      <c r="D29">
        <f>_xlfn.XLOOKUP(E29,Nodes!$D:$D,Nodes!$A:$A)</f>
        <v>17</v>
      </c>
      <c r="E29" s="2" t="s">
        <v>26</v>
      </c>
      <c r="F29" s="1">
        <f t="shared" si="0"/>
        <v>212.148735775317</v>
      </c>
      <c r="G29" s="3">
        <f t="shared" si="1"/>
        <v>0.979007540345481</v>
      </c>
      <c r="H29" s="1" t="s">
        <v>91</v>
      </c>
      <c r="I29">
        <f>_xlfn.XLOOKUP(B29,Nodes!$A:$A,Nodes!$B:$B)</f>
        <v>52.39</v>
      </c>
      <c r="J29">
        <f>_xlfn.XLOOKUP(B29,Nodes!$A:$A,Nodes!$C:$C)</f>
        <v>9.8</v>
      </c>
      <c r="K29">
        <f>_xlfn.XLOOKUP(D29,Nodes!$A:$A,Nodes!$B:$B)</f>
        <v>51.34</v>
      </c>
      <c r="L29">
        <f>_xlfn.XLOOKUP(D29,Nodes!$A:$A,Nodes!$C:$C)</f>
        <v>12.38</v>
      </c>
    </row>
    <row r="30" spans="1:12">
      <c r="A30">
        <v>29</v>
      </c>
      <c r="B30">
        <f>_xlfn.XLOOKUP(C30,Nodes!$D:$D,Nodes!$A:$A)</f>
        <v>2</v>
      </c>
      <c r="C30" s="2" t="s">
        <v>11</v>
      </c>
      <c r="D30">
        <f>_xlfn.XLOOKUP(E30,Nodes!$D:$D,Nodes!$A:$A)</f>
        <v>17</v>
      </c>
      <c r="E30" s="2" t="s">
        <v>26</v>
      </c>
      <c r="F30" s="1">
        <f t="shared" si="0"/>
        <v>295.291454543076</v>
      </c>
      <c r="G30" s="3">
        <f t="shared" si="1"/>
        <v>0.970901146241355</v>
      </c>
      <c r="H30" s="1" t="s">
        <v>91</v>
      </c>
      <c r="I30">
        <f>_xlfn.XLOOKUP(B30,Nodes!$A:$A,Nodes!$B:$B)</f>
        <v>50.1</v>
      </c>
      <c r="J30">
        <f>_xlfn.XLOOKUP(B30,Nodes!$A:$A,Nodes!$C:$C)</f>
        <v>8.67</v>
      </c>
      <c r="K30">
        <f>_xlfn.XLOOKUP(D30,Nodes!$A:$A,Nodes!$B:$B)</f>
        <v>51.34</v>
      </c>
      <c r="L30">
        <f>_xlfn.XLOOKUP(D30,Nodes!$A:$A,Nodes!$C:$C)</f>
        <v>12.38</v>
      </c>
    </row>
    <row r="31" spans="1:12">
      <c r="A31">
        <v>30</v>
      </c>
      <c r="B31">
        <f>_xlfn.XLOOKUP(C31,Nodes!$D:$D,Nodes!$A:$A)</f>
        <v>6</v>
      </c>
      <c r="C31" s="2" t="s">
        <v>15</v>
      </c>
      <c r="D31">
        <f>_xlfn.XLOOKUP(E31,Nodes!$D:$D,Nodes!$A:$A)</f>
        <v>17</v>
      </c>
      <c r="E31" s="2" t="s">
        <v>26</v>
      </c>
      <c r="F31" s="1">
        <f t="shared" si="0"/>
        <v>148.681260019104</v>
      </c>
      <c r="G31" s="3">
        <f t="shared" si="1"/>
        <v>0.985241126335835</v>
      </c>
      <c r="H31" s="1" t="s">
        <v>91</v>
      </c>
      <c r="I31">
        <f>_xlfn.XLOOKUP(B31,Nodes!$A:$A,Nodes!$B:$B)</f>
        <v>52.52</v>
      </c>
      <c r="J31">
        <f>_xlfn.XLOOKUP(B31,Nodes!$A:$A,Nodes!$C:$C)</f>
        <v>13.4</v>
      </c>
      <c r="K31">
        <f>_xlfn.XLOOKUP(D31,Nodes!$A:$A,Nodes!$B:$B)</f>
        <v>51.34</v>
      </c>
      <c r="L31">
        <f>_xlfn.XLOOKUP(D31,Nodes!$A:$A,Nodes!$C:$C)</f>
        <v>12.38</v>
      </c>
    </row>
    <row r="32" spans="1:12">
      <c r="A32">
        <v>31</v>
      </c>
      <c r="B32">
        <f>_xlfn.XLOOKUP(C32,Nodes!$D:$D,Nodes!$A:$A)</f>
        <v>18</v>
      </c>
      <c r="C32" s="4" t="s">
        <v>27</v>
      </c>
      <c r="D32">
        <f>_xlfn.XLOOKUP(E32,Nodes!$D:$D,Nodes!$A:$A)</f>
        <v>22</v>
      </c>
      <c r="E32" s="4" t="s">
        <v>32</v>
      </c>
      <c r="F32" s="1">
        <f t="shared" si="0"/>
        <v>97.5046650166916</v>
      </c>
      <c r="G32" s="3">
        <f t="shared" si="1"/>
        <v>0.990296432349055</v>
      </c>
      <c r="H32" s="1" t="s">
        <v>91</v>
      </c>
      <c r="I32">
        <f>_xlfn.XLOOKUP(B32,Nodes!$A:$A,Nodes!$B:$B)</f>
        <v>50.95</v>
      </c>
      <c r="J32">
        <f>_xlfn.XLOOKUP(B32,Nodes!$A:$A,Nodes!$C:$C)</f>
        <v>1.86</v>
      </c>
      <c r="K32">
        <f>_xlfn.XLOOKUP(D32,Nodes!$A:$A,Nodes!$B:$B)</f>
        <v>50.29</v>
      </c>
      <c r="L32">
        <f>_xlfn.XLOOKUP(D32,Nodes!$A:$A,Nodes!$C:$C)</f>
        <v>2.77</v>
      </c>
    </row>
    <row r="33" spans="1:12">
      <c r="A33">
        <v>32</v>
      </c>
      <c r="B33">
        <f>_xlfn.XLOOKUP(C33,Nodes!$D:$D,Nodes!$A:$A)</f>
        <v>18</v>
      </c>
      <c r="C33" s="4" t="s">
        <v>27</v>
      </c>
      <c r="D33">
        <f>_xlfn.XLOOKUP(E33,Nodes!$D:$D,Nodes!$A:$A)</f>
        <v>24</v>
      </c>
      <c r="E33" s="4" t="s">
        <v>34</v>
      </c>
      <c r="F33" s="1">
        <f t="shared" si="0"/>
        <v>498.184632232395</v>
      </c>
      <c r="G33" s="3">
        <f t="shared" si="1"/>
        <v>0.951399753274884</v>
      </c>
      <c r="H33" s="1" t="s">
        <v>91</v>
      </c>
      <c r="I33">
        <f>_xlfn.XLOOKUP(B33,Nodes!$A:$A,Nodes!$B:$B)</f>
        <v>50.95</v>
      </c>
      <c r="J33">
        <f>_xlfn.XLOOKUP(B33,Nodes!$A:$A,Nodes!$C:$C)</f>
        <v>1.86</v>
      </c>
      <c r="K33">
        <f>_xlfn.XLOOKUP(D33,Nodes!$A:$A,Nodes!$B:$B)</f>
        <v>48.58</v>
      </c>
      <c r="L33">
        <f>_xlfn.XLOOKUP(D33,Nodes!$A:$A,Nodes!$C:$C)</f>
        <v>7.75</v>
      </c>
    </row>
    <row r="34" spans="1:12">
      <c r="A34">
        <v>33</v>
      </c>
      <c r="B34">
        <f>_xlfn.XLOOKUP(C34,Nodes!$D:$D,Nodes!$A:$A)</f>
        <v>20</v>
      </c>
      <c r="C34" s="4" t="s">
        <v>30</v>
      </c>
      <c r="D34">
        <f>_xlfn.XLOOKUP(E34,Nodes!$D:$D,Nodes!$A:$A)</f>
        <v>19</v>
      </c>
      <c r="E34" s="4" t="s">
        <v>29</v>
      </c>
      <c r="F34" s="1">
        <f t="shared" si="0"/>
        <v>110.520863298845</v>
      </c>
      <c r="G34" s="3">
        <f t="shared" si="1"/>
        <v>0.989008217030245</v>
      </c>
      <c r="H34" s="1" t="s">
        <v>91</v>
      </c>
      <c r="I34">
        <f>_xlfn.XLOOKUP(B34,Nodes!$A:$A,Nodes!$B:$B)</f>
        <v>48.85</v>
      </c>
      <c r="J34">
        <f>_xlfn.XLOOKUP(B34,Nodes!$A:$A,Nodes!$C:$C)</f>
        <v>2.35</v>
      </c>
      <c r="K34">
        <f>_xlfn.XLOOKUP(D34,Nodes!$A:$A,Nodes!$B:$B)</f>
        <v>47.9</v>
      </c>
      <c r="L34">
        <f>_xlfn.XLOOKUP(D34,Nodes!$A:$A,Nodes!$C:$C)</f>
        <v>1.91</v>
      </c>
    </row>
    <row r="35" spans="1:12">
      <c r="A35">
        <v>34</v>
      </c>
      <c r="B35">
        <f>_xlfn.XLOOKUP(C35,Nodes!$D:$D,Nodes!$A:$A)</f>
        <v>21</v>
      </c>
      <c r="C35" s="4" t="s">
        <v>31</v>
      </c>
      <c r="D35">
        <f>_xlfn.XLOOKUP(E35,Nodes!$D:$D,Nodes!$A:$A)</f>
        <v>19</v>
      </c>
      <c r="E35" s="4" t="s">
        <v>29</v>
      </c>
      <c r="F35" s="1">
        <f t="shared" ref="F35:F66" si="2">6371*2*ASIN(SQRT(SIN(RADIANS((K35-I35)/2))^2+COS(RADIANS(I35))*COS(RADIANS(K35))*SIN(RADIANS((L35-J35)/2))^2))</f>
        <v>215.78065946278</v>
      </c>
      <c r="G35" s="3">
        <f t="shared" ref="G35:G66" si="3">(0.9999)^F35</f>
        <v>0.978652019066738</v>
      </c>
      <c r="H35" s="1" t="s">
        <v>91</v>
      </c>
      <c r="I35">
        <f>_xlfn.XLOOKUP(B35,Nodes!$A:$A,Nodes!$B:$B)</f>
        <v>48.96</v>
      </c>
      <c r="J35">
        <f>_xlfn.XLOOKUP(B35,Nodes!$A:$A,Nodes!$C:$C)</f>
        <v>4.36</v>
      </c>
      <c r="K35">
        <f>_xlfn.XLOOKUP(D35,Nodes!$A:$A,Nodes!$B:$B)</f>
        <v>47.9</v>
      </c>
      <c r="L35">
        <f>_xlfn.XLOOKUP(D35,Nodes!$A:$A,Nodes!$C:$C)</f>
        <v>1.91</v>
      </c>
    </row>
    <row r="36" spans="1:12">
      <c r="A36">
        <v>35</v>
      </c>
      <c r="B36">
        <f>_xlfn.XLOOKUP(C36,Nodes!$D:$D,Nodes!$A:$A)</f>
        <v>21</v>
      </c>
      <c r="C36" s="4" t="s">
        <v>31</v>
      </c>
      <c r="D36">
        <f>_xlfn.XLOOKUP(E36,Nodes!$D:$D,Nodes!$A:$A)</f>
        <v>20</v>
      </c>
      <c r="E36" s="4" t="s">
        <v>30</v>
      </c>
      <c r="F36" s="1">
        <f t="shared" si="2"/>
        <v>147.413783297214</v>
      </c>
      <c r="G36" s="3">
        <f t="shared" si="3"/>
        <v>0.985366017514472</v>
      </c>
      <c r="H36" s="1" t="s">
        <v>91</v>
      </c>
      <c r="I36">
        <f>_xlfn.XLOOKUP(B36,Nodes!$A:$A,Nodes!$B:$B)</f>
        <v>48.96</v>
      </c>
      <c r="J36">
        <f>_xlfn.XLOOKUP(B36,Nodes!$A:$A,Nodes!$C:$C)</f>
        <v>4.36</v>
      </c>
      <c r="K36">
        <f>_xlfn.XLOOKUP(D36,Nodes!$A:$A,Nodes!$B:$B)</f>
        <v>48.85</v>
      </c>
      <c r="L36">
        <f>_xlfn.XLOOKUP(D36,Nodes!$A:$A,Nodes!$C:$C)</f>
        <v>2.35</v>
      </c>
    </row>
    <row r="37" spans="1:12">
      <c r="A37">
        <v>36</v>
      </c>
      <c r="B37">
        <f>_xlfn.XLOOKUP(C37,Nodes!$D:$D,Nodes!$A:$A)</f>
        <v>21</v>
      </c>
      <c r="C37" s="4" t="s">
        <v>31</v>
      </c>
      <c r="D37">
        <f>_xlfn.XLOOKUP(E37,Nodes!$D:$D,Nodes!$A:$A)</f>
        <v>22</v>
      </c>
      <c r="E37" s="4" t="s">
        <v>32</v>
      </c>
      <c r="F37" s="1">
        <f t="shared" si="2"/>
        <v>187.041585824595</v>
      </c>
      <c r="G37" s="3">
        <f t="shared" si="3"/>
        <v>0.981468760738898</v>
      </c>
      <c r="H37" s="1" t="s">
        <v>91</v>
      </c>
      <c r="I37">
        <f>_xlfn.XLOOKUP(B37,Nodes!$A:$A,Nodes!$B:$B)</f>
        <v>48.96</v>
      </c>
      <c r="J37">
        <f>_xlfn.XLOOKUP(B37,Nodes!$A:$A,Nodes!$C:$C)</f>
        <v>4.36</v>
      </c>
      <c r="K37">
        <f>_xlfn.XLOOKUP(D37,Nodes!$A:$A,Nodes!$B:$B)</f>
        <v>50.29</v>
      </c>
      <c r="L37">
        <f>_xlfn.XLOOKUP(D37,Nodes!$A:$A,Nodes!$C:$C)</f>
        <v>2.77</v>
      </c>
    </row>
    <row r="38" spans="1:12">
      <c r="A38">
        <v>37</v>
      </c>
      <c r="B38">
        <f>_xlfn.XLOOKUP(C38,Nodes!$D:$D,Nodes!$A:$A)</f>
        <v>21</v>
      </c>
      <c r="C38" s="4" t="s">
        <v>31</v>
      </c>
      <c r="D38">
        <f>_xlfn.XLOOKUP(E38,Nodes!$D:$D,Nodes!$A:$A)</f>
        <v>23</v>
      </c>
      <c r="E38" s="4" t="s">
        <v>33</v>
      </c>
      <c r="F38" s="1">
        <f t="shared" si="2"/>
        <v>62.2149855584457</v>
      </c>
      <c r="G38" s="3">
        <f t="shared" si="3"/>
        <v>0.993797505726528</v>
      </c>
      <c r="H38" s="1" t="s">
        <v>91</v>
      </c>
      <c r="I38">
        <f>_xlfn.XLOOKUP(B38,Nodes!$A:$A,Nodes!$B:$B)</f>
        <v>48.96</v>
      </c>
      <c r="J38">
        <f>_xlfn.XLOOKUP(B38,Nodes!$A:$A,Nodes!$C:$C)</f>
        <v>4.36</v>
      </c>
      <c r="K38">
        <f>_xlfn.XLOOKUP(D38,Nodes!$A:$A,Nodes!$B:$B)</f>
        <v>48.77</v>
      </c>
      <c r="L38">
        <f>_xlfn.XLOOKUP(D38,Nodes!$A:$A,Nodes!$C:$C)</f>
        <v>5.16</v>
      </c>
    </row>
    <row r="39" spans="1:12">
      <c r="A39">
        <v>38</v>
      </c>
      <c r="B39">
        <f>_xlfn.XLOOKUP(C39,Nodes!$D:$D,Nodes!$A:$A)</f>
        <v>23</v>
      </c>
      <c r="C39" s="4" t="s">
        <v>33</v>
      </c>
      <c r="D39">
        <f>_xlfn.XLOOKUP(E39,Nodes!$D:$D,Nodes!$A:$A)</f>
        <v>22</v>
      </c>
      <c r="E39" s="4" t="s">
        <v>32</v>
      </c>
      <c r="F39" s="1">
        <f t="shared" si="2"/>
        <v>241.469373837815</v>
      </c>
      <c r="G39" s="3">
        <f t="shared" si="3"/>
        <v>0.976141088808501</v>
      </c>
      <c r="H39" s="1" t="s">
        <v>91</v>
      </c>
      <c r="I39">
        <f>_xlfn.XLOOKUP(B39,Nodes!$A:$A,Nodes!$B:$B)</f>
        <v>48.77</v>
      </c>
      <c r="J39">
        <f>_xlfn.XLOOKUP(B39,Nodes!$A:$A,Nodes!$C:$C)</f>
        <v>5.16</v>
      </c>
      <c r="K39">
        <f>_xlfn.XLOOKUP(D39,Nodes!$A:$A,Nodes!$B:$B)</f>
        <v>50.29</v>
      </c>
      <c r="L39">
        <f>_xlfn.XLOOKUP(D39,Nodes!$A:$A,Nodes!$C:$C)</f>
        <v>2.77</v>
      </c>
    </row>
    <row r="40" spans="1:12">
      <c r="A40">
        <v>39</v>
      </c>
      <c r="B40">
        <f>_xlfn.XLOOKUP(C40,Nodes!$D:$D,Nodes!$A:$A)</f>
        <v>23</v>
      </c>
      <c r="C40" s="4" t="s">
        <v>33</v>
      </c>
      <c r="D40">
        <f>_xlfn.XLOOKUP(E40,Nodes!$D:$D,Nodes!$A:$A)</f>
        <v>24</v>
      </c>
      <c r="E40" s="4" t="s">
        <v>34</v>
      </c>
      <c r="F40" s="1">
        <f t="shared" si="2"/>
        <v>191.331927531611</v>
      </c>
      <c r="G40" s="3">
        <f t="shared" si="3"/>
        <v>0.981047746373229</v>
      </c>
      <c r="H40" s="1" t="s">
        <v>91</v>
      </c>
      <c r="I40">
        <f>_xlfn.XLOOKUP(B40,Nodes!$A:$A,Nodes!$B:$B)</f>
        <v>48.77</v>
      </c>
      <c r="J40">
        <f>_xlfn.XLOOKUP(B40,Nodes!$A:$A,Nodes!$C:$C)</f>
        <v>5.16</v>
      </c>
      <c r="K40">
        <f>_xlfn.XLOOKUP(D40,Nodes!$A:$A,Nodes!$B:$B)</f>
        <v>48.58</v>
      </c>
      <c r="L40">
        <f>_xlfn.XLOOKUP(D40,Nodes!$A:$A,Nodes!$C:$C)</f>
        <v>7.75</v>
      </c>
    </row>
    <row r="41" spans="1:12">
      <c r="A41">
        <v>40</v>
      </c>
      <c r="B41">
        <f>_xlfn.XLOOKUP(C41,Nodes!$D:$D,Nodes!$A:$A)</f>
        <v>26</v>
      </c>
      <c r="C41" s="4" t="s">
        <v>36</v>
      </c>
      <c r="D41">
        <f>_xlfn.XLOOKUP(E41,Nodes!$D:$D,Nodes!$A:$A)</f>
        <v>25</v>
      </c>
      <c r="E41" s="4" t="s">
        <v>35</v>
      </c>
      <c r="F41" s="1">
        <f t="shared" si="2"/>
        <v>109.496148829587</v>
      </c>
      <c r="G41" s="3">
        <f t="shared" si="3"/>
        <v>0.989109572394045</v>
      </c>
      <c r="H41" s="1" t="s">
        <v>91</v>
      </c>
      <c r="I41">
        <f>_xlfn.XLOOKUP(B41,Nodes!$A:$A,Nodes!$B:$B)</f>
        <v>47.75</v>
      </c>
      <c r="J41">
        <f>_xlfn.XLOOKUP(B41,Nodes!$A:$A,Nodes!$C:$C)</f>
        <v>-3.37</v>
      </c>
      <c r="K41">
        <f>_xlfn.XLOOKUP(D41,Nodes!$A:$A,Nodes!$B:$B)</f>
        <v>48.39</v>
      </c>
      <c r="L41">
        <f>_xlfn.XLOOKUP(D41,Nodes!$A:$A,Nodes!$C:$C)</f>
        <v>-4.49</v>
      </c>
    </row>
    <row r="42" spans="1:12">
      <c r="A42">
        <v>41</v>
      </c>
      <c r="B42">
        <f>_xlfn.XLOOKUP(C42,Nodes!$D:$D,Nodes!$A:$A)</f>
        <v>27</v>
      </c>
      <c r="C42" s="4" t="s">
        <v>37</v>
      </c>
      <c r="D42">
        <f>_xlfn.XLOOKUP(E42,Nodes!$D:$D,Nodes!$A:$A)</f>
        <v>28</v>
      </c>
      <c r="E42" s="4" t="s">
        <v>38</v>
      </c>
      <c r="F42" s="1">
        <f t="shared" si="2"/>
        <v>148.708812158261</v>
      </c>
      <c r="G42" s="3">
        <f t="shared" si="3"/>
        <v>0.985238411653777</v>
      </c>
      <c r="H42" s="1" t="s">
        <v>91</v>
      </c>
      <c r="I42">
        <f>_xlfn.XLOOKUP(B42,Nodes!$A:$A,Nodes!$B:$B)</f>
        <v>45.83</v>
      </c>
      <c r="J42">
        <f>_xlfn.XLOOKUP(B42,Nodes!$A:$A,Nodes!$C:$C)</f>
        <v>1.26</v>
      </c>
      <c r="K42">
        <f>_xlfn.XLOOKUP(D42,Nodes!$A:$A,Nodes!$B:$B)</f>
        <v>46.58</v>
      </c>
      <c r="L42">
        <f>_xlfn.XLOOKUP(D42,Nodes!$A:$A,Nodes!$C:$C)</f>
        <v>-0.34</v>
      </c>
    </row>
    <row r="43" spans="1:12">
      <c r="A43">
        <v>42</v>
      </c>
      <c r="B43">
        <f>_xlfn.XLOOKUP(C43,Nodes!$D:$D,Nodes!$A:$A)</f>
        <v>27</v>
      </c>
      <c r="C43" s="4" t="s">
        <v>37</v>
      </c>
      <c r="D43">
        <f>_xlfn.XLOOKUP(E43,Nodes!$D:$D,Nodes!$A:$A)</f>
        <v>29</v>
      </c>
      <c r="E43" s="4" t="s">
        <v>39</v>
      </c>
      <c r="F43" s="1">
        <f t="shared" si="2"/>
        <v>338.073963860364</v>
      </c>
      <c r="G43" s="3">
        <f t="shared" si="3"/>
        <v>0.966756053446061</v>
      </c>
      <c r="H43" s="1" t="s">
        <v>91</v>
      </c>
      <c r="I43">
        <f>_xlfn.XLOOKUP(B43,Nodes!$A:$A,Nodes!$B:$B)</f>
        <v>45.83</v>
      </c>
      <c r="J43">
        <f>_xlfn.XLOOKUP(B43,Nodes!$A:$A,Nodes!$C:$C)</f>
        <v>1.26</v>
      </c>
      <c r="K43">
        <f>_xlfn.XLOOKUP(D43,Nodes!$A:$A,Nodes!$B:$B)</f>
        <v>43.49</v>
      </c>
      <c r="L43">
        <f>_xlfn.XLOOKUP(D43,Nodes!$A:$A,Nodes!$C:$C)</f>
        <v>-1.47</v>
      </c>
    </row>
    <row r="44" spans="1:12">
      <c r="A44">
        <v>43</v>
      </c>
      <c r="B44">
        <f>_xlfn.XLOOKUP(C44,Nodes!$D:$D,Nodes!$A:$A)</f>
        <v>27</v>
      </c>
      <c r="C44" s="4" t="s">
        <v>37</v>
      </c>
      <c r="D44">
        <f>_xlfn.XLOOKUP(E44,Nodes!$D:$D,Nodes!$A:$A)</f>
        <v>30</v>
      </c>
      <c r="E44" s="4" t="s">
        <v>40</v>
      </c>
      <c r="F44" s="1">
        <f t="shared" si="2"/>
        <v>188.09818830726</v>
      </c>
      <c r="G44" s="3">
        <f t="shared" si="3"/>
        <v>0.981365058799472</v>
      </c>
      <c r="H44" s="1" t="s">
        <v>91</v>
      </c>
      <c r="I44">
        <f>_xlfn.XLOOKUP(B44,Nodes!$A:$A,Nodes!$B:$B)</f>
        <v>45.83</v>
      </c>
      <c r="J44">
        <f>_xlfn.XLOOKUP(B44,Nodes!$A:$A,Nodes!$C:$C)</f>
        <v>1.26</v>
      </c>
      <c r="K44">
        <f>_xlfn.XLOOKUP(D44,Nodes!$A:$A,Nodes!$B:$B)</f>
        <v>44.2</v>
      </c>
      <c r="L44">
        <f>_xlfn.XLOOKUP(D44,Nodes!$A:$A,Nodes!$C:$C)</f>
        <v>0.62</v>
      </c>
    </row>
    <row r="45" spans="1:12">
      <c r="A45">
        <v>44</v>
      </c>
      <c r="B45">
        <f>_xlfn.XLOOKUP(C45,Nodes!$D:$D,Nodes!$A:$A)</f>
        <v>27</v>
      </c>
      <c r="C45" s="4" t="s">
        <v>37</v>
      </c>
      <c r="D45">
        <f>_xlfn.XLOOKUP(E45,Nodes!$D:$D,Nodes!$A:$A)</f>
        <v>31</v>
      </c>
      <c r="E45" s="4" t="s">
        <v>41</v>
      </c>
      <c r="F45" s="1">
        <f t="shared" si="2"/>
        <v>354.700009890811</v>
      </c>
      <c r="G45" s="3">
        <f t="shared" si="3"/>
        <v>0.965149975582558</v>
      </c>
      <c r="H45" s="1" t="s">
        <v>91</v>
      </c>
      <c r="I45">
        <f>_xlfn.XLOOKUP(B45,Nodes!$A:$A,Nodes!$B:$B)</f>
        <v>45.83</v>
      </c>
      <c r="J45">
        <f>_xlfn.XLOOKUP(B45,Nodes!$A:$A,Nodes!$C:$C)</f>
        <v>1.26</v>
      </c>
      <c r="K45">
        <f>_xlfn.XLOOKUP(D45,Nodes!$A:$A,Nodes!$B:$B)</f>
        <v>45.19</v>
      </c>
      <c r="L45">
        <f>_xlfn.XLOOKUP(D45,Nodes!$A:$A,Nodes!$C:$C)</f>
        <v>5.72</v>
      </c>
    </row>
    <row r="46" spans="1:12">
      <c r="A46">
        <v>45</v>
      </c>
      <c r="B46">
        <f>_xlfn.XLOOKUP(C46,Nodes!$D:$D,Nodes!$A:$A)</f>
        <v>27</v>
      </c>
      <c r="C46" s="4" t="s">
        <v>37</v>
      </c>
      <c r="D46">
        <f>_xlfn.XLOOKUP(E46,Nodes!$D:$D,Nodes!$A:$A)</f>
        <v>32</v>
      </c>
      <c r="E46" s="4" t="s">
        <v>42</v>
      </c>
      <c r="F46" s="1">
        <f t="shared" si="2"/>
        <v>178.843592960662</v>
      </c>
      <c r="G46" s="3">
        <f t="shared" si="3"/>
        <v>0.982273738293044</v>
      </c>
      <c r="H46" s="1" t="s">
        <v>91</v>
      </c>
      <c r="I46">
        <f>_xlfn.XLOOKUP(B46,Nodes!$A:$A,Nodes!$B:$B)</f>
        <v>45.83</v>
      </c>
      <c r="J46">
        <f>_xlfn.XLOOKUP(B46,Nodes!$A:$A,Nodes!$C:$C)</f>
        <v>1.26</v>
      </c>
      <c r="K46">
        <f>_xlfn.XLOOKUP(D46,Nodes!$A:$A,Nodes!$B:$B)</f>
        <v>47.39</v>
      </c>
      <c r="L46">
        <f>_xlfn.XLOOKUP(D46,Nodes!$A:$A,Nodes!$C:$C)</f>
        <v>0.69</v>
      </c>
    </row>
    <row r="47" spans="1:12">
      <c r="A47">
        <v>46</v>
      </c>
      <c r="B47">
        <f>_xlfn.XLOOKUP(C47,Nodes!$D:$D,Nodes!$A:$A)</f>
        <v>28</v>
      </c>
      <c r="C47" s="4" t="s">
        <v>38</v>
      </c>
      <c r="D47">
        <f>_xlfn.XLOOKUP(E47,Nodes!$D:$D,Nodes!$A:$A)</f>
        <v>24</v>
      </c>
      <c r="E47" s="4" t="s">
        <v>34</v>
      </c>
      <c r="F47" s="1">
        <f t="shared" si="2"/>
        <v>645.889137426238</v>
      </c>
      <c r="G47" s="3">
        <f t="shared" si="3"/>
        <v>0.937449730473378</v>
      </c>
      <c r="H47" s="1" t="s">
        <v>91</v>
      </c>
      <c r="I47">
        <f>_xlfn.XLOOKUP(B47,Nodes!$A:$A,Nodes!$B:$B)</f>
        <v>46.58</v>
      </c>
      <c r="J47">
        <f>_xlfn.XLOOKUP(B47,Nodes!$A:$A,Nodes!$C:$C)</f>
        <v>-0.34</v>
      </c>
      <c r="K47">
        <f>_xlfn.XLOOKUP(D47,Nodes!$A:$A,Nodes!$B:$B)</f>
        <v>48.58</v>
      </c>
      <c r="L47">
        <f>_xlfn.XLOOKUP(D47,Nodes!$A:$A,Nodes!$C:$C)</f>
        <v>7.75</v>
      </c>
    </row>
    <row r="48" spans="1:12">
      <c r="A48">
        <v>47</v>
      </c>
      <c r="B48">
        <f>_xlfn.XLOOKUP(C48,Nodes!$D:$D,Nodes!$A:$A)</f>
        <v>28</v>
      </c>
      <c r="C48" s="4" t="s">
        <v>38</v>
      </c>
      <c r="D48">
        <f>_xlfn.XLOOKUP(E48,Nodes!$D:$D,Nodes!$A:$A)</f>
        <v>25</v>
      </c>
      <c r="E48" s="4" t="s">
        <v>35</v>
      </c>
      <c r="F48" s="1">
        <f t="shared" si="2"/>
        <v>371.072394020988</v>
      </c>
      <c r="G48" s="3">
        <f t="shared" si="3"/>
        <v>0.963571008943707</v>
      </c>
      <c r="H48" s="1" t="s">
        <v>91</v>
      </c>
      <c r="I48">
        <f>_xlfn.XLOOKUP(B48,Nodes!$A:$A,Nodes!$B:$B)</f>
        <v>46.58</v>
      </c>
      <c r="J48">
        <f>_xlfn.XLOOKUP(B48,Nodes!$A:$A,Nodes!$C:$C)</f>
        <v>-0.34</v>
      </c>
      <c r="K48">
        <f>_xlfn.XLOOKUP(D48,Nodes!$A:$A,Nodes!$B:$B)</f>
        <v>48.39</v>
      </c>
      <c r="L48">
        <f>_xlfn.XLOOKUP(D48,Nodes!$A:$A,Nodes!$C:$C)</f>
        <v>-4.49</v>
      </c>
    </row>
    <row r="49" spans="1:12">
      <c r="A49">
        <v>48</v>
      </c>
      <c r="B49">
        <f>_xlfn.XLOOKUP(C49,Nodes!$D:$D,Nodes!$A:$A)</f>
        <v>28</v>
      </c>
      <c r="C49" s="4" t="s">
        <v>38</v>
      </c>
      <c r="D49">
        <f>_xlfn.XLOOKUP(E49,Nodes!$D:$D,Nodes!$A:$A)</f>
        <v>26</v>
      </c>
      <c r="E49" s="4" t="s">
        <v>36</v>
      </c>
      <c r="F49" s="1">
        <f t="shared" si="2"/>
        <v>263.406983947102</v>
      </c>
      <c r="G49" s="3">
        <f t="shared" si="3"/>
        <v>0.97400190886866</v>
      </c>
      <c r="H49" s="1" t="s">
        <v>91</v>
      </c>
      <c r="I49">
        <f>_xlfn.XLOOKUP(B49,Nodes!$A:$A,Nodes!$B:$B)</f>
        <v>46.58</v>
      </c>
      <c r="J49">
        <f>_xlfn.XLOOKUP(B49,Nodes!$A:$A,Nodes!$C:$C)</f>
        <v>-0.34</v>
      </c>
      <c r="K49">
        <f>_xlfn.XLOOKUP(D49,Nodes!$A:$A,Nodes!$B:$B)</f>
        <v>47.75</v>
      </c>
      <c r="L49">
        <f>_xlfn.XLOOKUP(D49,Nodes!$A:$A,Nodes!$C:$C)</f>
        <v>-3.37</v>
      </c>
    </row>
    <row r="50" spans="1:12">
      <c r="A50">
        <v>49</v>
      </c>
      <c r="B50">
        <f>_xlfn.XLOOKUP(C50,Nodes!$D:$D,Nodes!$A:$A)</f>
        <v>29</v>
      </c>
      <c r="C50" s="4" t="s">
        <v>39</v>
      </c>
      <c r="D50">
        <f>_xlfn.XLOOKUP(E50,Nodes!$D:$D,Nodes!$A:$A)</f>
        <v>30</v>
      </c>
      <c r="E50" s="4" t="s">
        <v>40</v>
      </c>
      <c r="F50" s="1">
        <f t="shared" si="2"/>
        <v>185.26390534972</v>
      </c>
      <c r="G50" s="3">
        <f t="shared" si="3"/>
        <v>0.981643258758837</v>
      </c>
      <c r="H50" s="1" t="s">
        <v>91</v>
      </c>
      <c r="I50">
        <f>_xlfn.XLOOKUP(B50,Nodes!$A:$A,Nodes!$B:$B)</f>
        <v>43.49</v>
      </c>
      <c r="J50">
        <f>_xlfn.XLOOKUP(B50,Nodes!$A:$A,Nodes!$C:$C)</f>
        <v>-1.47</v>
      </c>
      <c r="K50">
        <f>_xlfn.XLOOKUP(D50,Nodes!$A:$A,Nodes!$B:$B)</f>
        <v>44.2</v>
      </c>
      <c r="L50">
        <f>_xlfn.XLOOKUP(D50,Nodes!$A:$A,Nodes!$C:$C)</f>
        <v>0.62</v>
      </c>
    </row>
    <row r="51" spans="1:12">
      <c r="A51">
        <v>50</v>
      </c>
      <c r="B51">
        <f>_xlfn.XLOOKUP(C51,Nodes!$D:$D,Nodes!$A:$A)</f>
        <v>31</v>
      </c>
      <c r="C51" s="4" t="s">
        <v>41</v>
      </c>
      <c r="D51">
        <f>_xlfn.XLOOKUP(E51,Nodes!$D:$D,Nodes!$A:$A)</f>
        <v>29</v>
      </c>
      <c r="E51" s="4" t="s">
        <v>39</v>
      </c>
      <c r="F51" s="1">
        <f t="shared" si="2"/>
        <v>601.985096032852</v>
      </c>
      <c r="G51" s="3">
        <f t="shared" si="3"/>
        <v>0.941574768571588</v>
      </c>
      <c r="H51" s="1" t="s">
        <v>91</v>
      </c>
      <c r="I51">
        <f>_xlfn.XLOOKUP(B51,Nodes!$A:$A,Nodes!$B:$B)</f>
        <v>45.19</v>
      </c>
      <c r="J51">
        <f>_xlfn.XLOOKUP(B51,Nodes!$A:$A,Nodes!$C:$C)</f>
        <v>5.72</v>
      </c>
      <c r="K51">
        <f>_xlfn.XLOOKUP(D51,Nodes!$A:$A,Nodes!$B:$B)</f>
        <v>43.49</v>
      </c>
      <c r="L51">
        <f>_xlfn.XLOOKUP(D51,Nodes!$A:$A,Nodes!$C:$C)</f>
        <v>-1.47</v>
      </c>
    </row>
    <row r="52" spans="1:12">
      <c r="A52">
        <v>51</v>
      </c>
      <c r="B52">
        <f>_xlfn.XLOOKUP(C52,Nodes!$D:$D,Nodes!$A:$A)</f>
        <v>32</v>
      </c>
      <c r="C52" s="4" t="s">
        <v>42</v>
      </c>
      <c r="D52">
        <f>_xlfn.XLOOKUP(E52,Nodes!$D:$D,Nodes!$A:$A)</f>
        <v>18</v>
      </c>
      <c r="E52" s="4" t="s">
        <v>27</v>
      </c>
      <c r="F52" s="1">
        <f t="shared" si="2"/>
        <v>404.875005358645</v>
      </c>
      <c r="G52" s="3">
        <f t="shared" si="3"/>
        <v>0.960319223758561</v>
      </c>
      <c r="H52" s="1" t="s">
        <v>91</v>
      </c>
      <c r="I52">
        <f>_xlfn.XLOOKUP(B52,Nodes!$A:$A,Nodes!$B:$B)</f>
        <v>47.39</v>
      </c>
      <c r="J52">
        <f>_xlfn.XLOOKUP(B52,Nodes!$A:$A,Nodes!$C:$C)</f>
        <v>0.69</v>
      </c>
      <c r="K52">
        <f>_xlfn.XLOOKUP(D52,Nodes!$A:$A,Nodes!$B:$B)</f>
        <v>50.95</v>
      </c>
      <c r="L52">
        <f>_xlfn.XLOOKUP(D52,Nodes!$A:$A,Nodes!$C:$C)</f>
        <v>1.86</v>
      </c>
    </row>
    <row r="53" spans="1:12">
      <c r="A53">
        <v>52</v>
      </c>
      <c r="B53">
        <f>_xlfn.XLOOKUP(C53,Nodes!$D:$D,Nodes!$A:$A)</f>
        <v>32</v>
      </c>
      <c r="C53" s="4" t="s">
        <v>42</v>
      </c>
      <c r="D53">
        <f>_xlfn.XLOOKUP(E53,Nodes!$D:$D,Nodes!$A:$A)</f>
        <v>24</v>
      </c>
      <c r="E53" s="4" t="s">
        <v>34</v>
      </c>
      <c r="F53" s="1">
        <f t="shared" si="2"/>
        <v>541.628527377067</v>
      </c>
      <c r="G53" s="3">
        <f t="shared" si="3"/>
        <v>0.947275261621182</v>
      </c>
      <c r="H53" s="1" t="s">
        <v>91</v>
      </c>
      <c r="I53">
        <f>_xlfn.XLOOKUP(B53,Nodes!$A:$A,Nodes!$B:$B)</f>
        <v>47.39</v>
      </c>
      <c r="J53">
        <f>_xlfn.XLOOKUP(B53,Nodes!$A:$A,Nodes!$C:$C)</f>
        <v>0.69</v>
      </c>
      <c r="K53">
        <f>_xlfn.XLOOKUP(D53,Nodes!$A:$A,Nodes!$B:$B)</f>
        <v>48.58</v>
      </c>
      <c r="L53">
        <f>_xlfn.XLOOKUP(D53,Nodes!$A:$A,Nodes!$C:$C)</f>
        <v>7.75</v>
      </c>
    </row>
    <row r="54" spans="1:12">
      <c r="A54">
        <v>53</v>
      </c>
      <c r="B54">
        <f>_xlfn.XLOOKUP(C54,Nodes!$D:$D,Nodes!$A:$A)</f>
        <v>33</v>
      </c>
      <c r="C54" s="4" t="s">
        <v>43</v>
      </c>
      <c r="D54">
        <f>_xlfn.XLOOKUP(E54,Nodes!$D:$D,Nodes!$A:$A)</f>
        <v>35</v>
      </c>
      <c r="E54" s="4" t="s">
        <v>45</v>
      </c>
      <c r="F54" s="1">
        <f t="shared" si="2"/>
        <v>504.703720647555</v>
      </c>
      <c r="G54" s="3">
        <f t="shared" si="3"/>
        <v>0.950779698492211</v>
      </c>
      <c r="H54" s="1" t="s">
        <v>91</v>
      </c>
      <c r="I54">
        <f>_xlfn.XLOOKUP(B54,Nodes!$A:$A,Nodes!$B:$B)</f>
        <v>44.85</v>
      </c>
      <c r="J54">
        <f>_xlfn.XLOOKUP(B54,Nodes!$A:$A,Nodes!$C:$C)</f>
        <v>-0.57</v>
      </c>
      <c r="K54">
        <f>_xlfn.XLOOKUP(D54,Nodes!$A:$A,Nodes!$B:$B)</f>
        <v>43.3</v>
      </c>
      <c r="L54">
        <f>_xlfn.XLOOKUP(D54,Nodes!$A:$A,Nodes!$C:$C)</f>
        <v>5.37</v>
      </c>
    </row>
    <row r="55" spans="1:12">
      <c r="A55">
        <v>54</v>
      </c>
      <c r="B55">
        <f>_xlfn.XLOOKUP(C55,Nodes!$D:$D,Nodes!$A:$A)</f>
        <v>33</v>
      </c>
      <c r="C55" s="4" t="s">
        <v>43</v>
      </c>
      <c r="D55">
        <f>_xlfn.XLOOKUP(E55,Nodes!$D:$D,Nodes!$A:$A)</f>
        <v>20</v>
      </c>
      <c r="E55" s="4" t="s">
        <v>30</v>
      </c>
      <c r="F55" s="1">
        <f t="shared" si="2"/>
        <v>497.036031643545</v>
      </c>
      <c r="G55" s="3">
        <f t="shared" si="3"/>
        <v>0.951509042847522</v>
      </c>
      <c r="H55" s="1" t="s">
        <v>91</v>
      </c>
      <c r="I55">
        <f>_xlfn.XLOOKUP(B55,Nodes!$A:$A,Nodes!$B:$B)</f>
        <v>44.85</v>
      </c>
      <c r="J55">
        <f>_xlfn.XLOOKUP(B55,Nodes!$A:$A,Nodes!$C:$C)</f>
        <v>-0.57</v>
      </c>
      <c r="K55">
        <f>_xlfn.XLOOKUP(D55,Nodes!$A:$A,Nodes!$B:$B)</f>
        <v>48.85</v>
      </c>
      <c r="L55">
        <f>_xlfn.XLOOKUP(D55,Nodes!$A:$A,Nodes!$C:$C)</f>
        <v>2.35</v>
      </c>
    </row>
    <row r="56" spans="1:12">
      <c r="A56">
        <v>55</v>
      </c>
      <c r="B56">
        <f>_xlfn.XLOOKUP(C56,Nodes!$D:$D,Nodes!$A:$A)</f>
        <v>34</v>
      </c>
      <c r="C56" s="4" t="s">
        <v>44</v>
      </c>
      <c r="D56">
        <f>_xlfn.XLOOKUP(E56,Nodes!$D:$D,Nodes!$A:$A)</f>
        <v>35</v>
      </c>
      <c r="E56" s="4" t="s">
        <v>45</v>
      </c>
      <c r="F56" s="1">
        <f t="shared" si="2"/>
        <v>273.57298904918</v>
      </c>
      <c r="G56" s="3">
        <f t="shared" si="3"/>
        <v>0.973012191703207</v>
      </c>
      <c r="H56" s="1" t="s">
        <v>91</v>
      </c>
      <c r="I56">
        <f>_xlfn.XLOOKUP(B56,Nodes!$A:$A,Nodes!$B:$B)</f>
        <v>45.73</v>
      </c>
      <c r="J56">
        <f>_xlfn.XLOOKUP(B56,Nodes!$A:$A,Nodes!$C:$C)</f>
        <v>4.83</v>
      </c>
      <c r="K56">
        <f>_xlfn.XLOOKUP(D56,Nodes!$A:$A,Nodes!$B:$B)</f>
        <v>43.3</v>
      </c>
      <c r="L56">
        <f>_xlfn.XLOOKUP(D56,Nodes!$A:$A,Nodes!$C:$C)</f>
        <v>5.37</v>
      </c>
    </row>
    <row r="57" spans="1:12">
      <c r="A57">
        <v>56</v>
      </c>
      <c r="B57">
        <f>_xlfn.XLOOKUP(C57,Nodes!$D:$D,Nodes!$A:$A)</f>
        <v>34</v>
      </c>
      <c r="C57" s="4" t="s">
        <v>44</v>
      </c>
      <c r="D57">
        <f>_xlfn.XLOOKUP(E57,Nodes!$D:$D,Nodes!$A:$A)</f>
        <v>20</v>
      </c>
      <c r="E57" s="4" t="s">
        <v>30</v>
      </c>
      <c r="F57" s="1">
        <f t="shared" si="2"/>
        <v>394.085898774434</v>
      </c>
      <c r="G57" s="3">
        <f t="shared" si="3"/>
        <v>0.961355933398877</v>
      </c>
      <c r="H57" s="1" t="s">
        <v>91</v>
      </c>
      <c r="I57">
        <f>_xlfn.XLOOKUP(B57,Nodes!$A:$A,Nodes!$B:$B)</f>
        <v>45.73</v>
      </c>
      <c r="J57">
        <f>_xlfn.XLOOKUP(B57,Nodes!$A:$A,Nodes!$C:$C)</f>
        <v>4.83</v>
      </c>
      <c r="K57">
        <f>_xlfn.XLOOKUP(D57,Nodes!$A:$A,Nodes!$B:$B)</f>
        <v>48.85</v>
      </c>
      <c r="L57">
        <f>_xlfn.XLOOKUP(D57,Nodes!$A:$A,Nodes!$C:$C)</f>
        <v>2.35</v>
      </c>
    </row>
    <row r="58" spans="1:12">
      <c r="A58">
        <v>57</v>
      </c>
      <c r="B58">
        <f>_xlfn.XLOOKUP(C58,Nodes!$D:$D,Nodes!$A:$A)</f>
        <v>34</v>
      </c>
      <c r="C58" s="4" t="s">
        <v>44</v>
      </c>
      <c r="D58">
        <f>_xlfn.XLOOKUP(E58,Nodes!$D:$D,Nodes!$A:$A)</f>
        <v>27</v>
      </c>
      <c r="E58" s="4" t="s">
        <v>37</v>
      </c>
      <c r="F58" s="1">
        <f t="shared" si="2"/>
        <v>277.050167804304</v>
      </c>
      <c r="G58" s="3">
        <f t="shared" si="3"/>
        <v>0.972673899874654</v>
      </c>
      <c r="H58" s="1" t="s">
        <v>91</v>
      </c>
      <c r="I58">
        <f>_xlfn.XLOOKUP(B58,Nodes!$A:$A,Nodes!$B:$B)</f>
        <v>45.73</v>
      </c>
      <c r="J58">
        <f>_xlfn.XLOOKUP(B58,Nodes!$A:$A,Nodes!$C:$C)</f>
        <v>4.83</v>
      </c>
      <c r="K58">
        <f>_xlfn.XLOOKUP(D58,Nodes!$A:$A,Nodes!$B:$B)</f>
        <v>45.83</v>
      </c>
      <c r="L58">
        <f>_xlfn.XLOOKUP(D58,Nodes!$A:$A,Nodes!$C:$C)</f>
        <v>1.26</v>
      </c>
    </row>
    <row r="59" spans="1:12">
      <c r="A59">
        <v>58</v>
      </c>
      <c r="B59">
        <f>_xlfn.XLOOKUP(C59,Nodes!$D:$D,Nodes!$A:$A)</f>
        <v>20</v>
      </c>
      <c r="C59" s="4" t="s">
        <v>30</v>
      </c>
      <c r="D59">
        <f>_xlfn.XLOOKUP(E59,Nodes!$D:$D,Nodes!$A:$A)</f>
        <v>24</v>
      </c>
      <c r="E59" s="4" t="s">
        <v>34</v>
      </c>
      <c r="F59" s="1">
        <f t="shared" si="2"/>
        <v>397.233163595956</v>
      </c>
      <c r="G59" s="3">
        <f t="shared" si="3"/>
        <v>0.96105340171089</v>
      </c>
      <c r="H59" s="1" t="s">
        <v>91</v>
      </c>
      <c r="I59">
        <f>_xlfn.XLOOKUP(B59,Nodes!$A:$A,Nodes!$B:$B)</f>
        <v>48.85</v>
      </c>
      <c r="J59">
        <f>_xlfn.XLOOKUP(B59,Nodes!$A:$A,Nodes!$C:$C)</f>
        <v>2.35</v>
      </c>
      <c r="K59">
        <f>_xlfn.XLOOKUP(D59,Nodes!$A:$A,Nodes!$B:$B)</f>
        <v>48.58</v>
      </c>
      <c r="L59">
        <f>_xlfn.XLOOKUP(D59,Nodes!$A:$A,Nodes!$C:$C)</f>
        <v>7.75</v>
      </c>
    </row>
    <row r="60" spans="1:12">
      <c r="A60">
        <v>59</v>
      </c>
      <c r="B60">
        <f>_xlfn.XLOOKUP(C60,Nodes!$D:$D,Nodes!$A:$A)</f>
        <v>36</v>
      </c>
      <c r="C60" s="5" t="s">
        <v>46</v>
      </c>
      <c r="D60">
        <f>_xlfn.XLOOKUP(E60,Nodes!$D:$D,Nodes!$A:$A)</f>
        <v>37</v>
      </c>
      <c r="E60" s="5" t="s">
        <v>48</v>
      </c>
      <c r="F60" s="1">
        <f t="shared" si="2"/>
        <v>124.709885912724</v>
      </c>
      <c r="G60" s="3">
        <f t="shared" si="3"/>
        <v>0.987605836070405</v>
      </c>
      <c r="H60" s="1" t="s">
        <v>91</v>
      </c>
      <c r="I60">
        <f>_xlfn.XLOOKUP(B60,Nodes!$A:$A,Nodes!$B:$B)</f>
        <v>45.47</v>
      </c>
      <c r="J60">
        <f>_xlfn.XLOOKUP(B60,Nodes!$A:$A,Nodes!$C:$C)</f>
        <v>9.17</v>
      </c>
      <c r="K60">
        <f>_xlfn.XLOOKUP(D60,Nodes!$A:$A,Nodes!$B:$B)</f>
        <v>45.079167</v>
      </c>
      <c r="L60">
        <f>_xlfn.XLOOKUP(D60,Nodes!$A:$A,Nodes!$C:$C)</f>
        <v>7.676111</v>
      </c>
    </row>
    <row r="61" spans="1:12">
      <c r="A61">
        <v>60</v>
      </c>
      <c r="B61">
        <f>_xlfn.XLOOKUP(C61,Nodes!$D:$D,Nodes!$A:$A)</f>
        <v>36</v>
      </c>
      <c r="C61" s="5" t="s">
        <v>46</v>
      </c>
      <c r="D61">
        <f>_xlfn.XLOOKUP(E61,Nodes!$D:$D,Nodes!$A:$A)</f>
        <v>38</v>
      </c>
      <c r="E61" s="5" t="s">
        <v>49</v>
      </c>
      <c r="F61" s="1">
        <f t="shared" si="2"/>
        <v>119.630554189295</v>
      </c>
      <c r="G61" s="3">
        <f t="shared" si="3"/>
        <v>0.988107626352853</v>
      </c>
      <c r="H61" s="1" t="s">
        <v>91</v>
      </c>
      <c r="I61">
        <f>_xlfn.XLOOKUP(B61,Nodes!$A:$A,Nodes!$B:$B)</f>
        <v>45.47</v>
      </c>
      <c r="J61">
        <f>_xlfn.XLOOKUP(B61,Nodes!$A:$A,Nodes!$C:$C)</f>
        <v>9.17</v>
      </c>
      <c r="K61">
        <f>_xlfn.XLOOKUP(D61,Nodes!$A:$A,Nodes!$B:$B)</f>
        <v>44.407186</v>
      </c>
      <c r="L61">
        <f>_xlfn.XLOOKUP(D61,Nodes!$A:$A,Nodes!$C:$C)</f>
        <v>8.933983</v>
      </c>
    </row>
    <row r="62" spans="1:12">
      <c r="A62">
        <v>61</v>
      </c>
      <c r="B62">
        <f>_xlfn.XLOOKUP(C62,Nodes!$D:$D,Nodes!$A:$A)</f>
        <v>37</v>
      </c>
      <c r="C62" s="5" t="s">
        <v>48</v>
      </c>
      <c r="D62">
        <f>_xlfn.XLOOKUP(E62,Nodes!$D:$D,Nodes!$A:$A)</f>
        <v>38</v>
      </c>
      <c r="E62" s="5" t="s">
        <v>49</v>
      </c>
      <c r="F62" s="1">
        <f t="shared" si="2"/>
        <v>124.30576397642</v>
      </c>
      <c r="G62" s="3">
        <f t="shared" si="3"/>
        <v>0.987645750190925</v>
      </c>
      <c r="H62" s="1" t="s">
        <v>91</v>
      </c>
      <c r="I62">
        <f>_xlfn.XLOOKUP(B62,Nodes!$A:$A,Nodes!$B:$B)</f>
        <v>45.079167</v>
      </c>
      <c r="J62">
        <f>_xlfn.XLOOKUP(B62,Nodes!$A:$A,Nodes!$C:$C)</f>
        <v>7.676111</v>
      </c>
      <c r="K62">
        <f>_xlfn.XLOOKUP(D62,Nodes!$A:$A,Nodes!$B:$B)</f>
        <v>44.407186</v>
      </c>
      <c r="L62">
        <f>_xlfn.XLOOKUP(D62,Nodes!$A:$A,Nodes!$C:$C)</f>
        <v>8.933983</v>
      </c>
    </row>
    <row r="63" spans="1:12">
      <c r="A63">
        <v>62</v>
      </c>
      <c r="B63">
        <f>_xlfn.XLOOKUP(C63,Nodes!$D:$D,Nodes!$A:$A)</f>
        <v>38</v>
      </c>
      <c r="C63" s="5" t="s">
        <v>49</v>
      </c>
      <c r="D63">
        <f>_xlfn.XLOOKUP(E63,Nodes!$D:$D,Nodes!$A:$A)</f>
        <v>39</v>
      </c>
      <c r="E63" s="5" t="s">
        <v>50</v>
      </c>
      <c r="F63" s="1">
        <f t="shared" si="2"/>
        <v>191.439060483216</v>
      </c>
      <c r="G63" s="3">
        <f t="shared" si="3"/>
        <v>0.981037235649913</v>
      </c>
      <c r="H63" s="1" t="s">
        <v>91</v>
      </c>
      <c r="I63">
        <f>_xlfn.XLOOKUP(B63,Nodes!$A:$A,Nodes!$B:$B)</f>
        <v>44.407186</v>
      </c>
      <c r="J63">
        <f>_xlfn.XLOOKUP(B63,Nodes!$A:$A,Nodes!$C:$C)</f>
        <v>8.933983</v>
      </c>
      <c r="K63">
        <f>_xlfn.XLOOKUP(D63,Nodes!$A:$A,Nodes!$B:$B)</f>
        <v>44.493889</v>
      </c>
      <c r="L63">
        <f>_xlfn.XLOOKUP(D63,Nodes!$A:$A,Nodes!$C:$C)</f>
        <v>11.342778</v>
      </c>
    </row>
    <row r="64" spans="1:12">
      <c r="A64">
        <v>63</v>
      </c>
      <c r="B64">
        <f>_xlfn.XLOOKUP(C64,Nodes!$D:$D,Nodes!$A:$A)</f>
        <v>38</v>
      </c>
      <c r="C64" s="5" t="s">
        <v>49</v>
      </c>
      <c r="D64">
        <f>_xlfn.XLOOKUP(E64,Nodes!$D:$D,Nodes!$A:$A)</f>
        <v>40</v>
      </c>
      <c r="E64" s="5" t="s">
        <v>51</v>
      </c>
      <c r="F64" s="1">
        <f t="shared" si="2"/>
        <v>198.324008838184</v>
      </c>
      <c r="G64" s="3">
        <f t="shared" si="3"/>
        <v>0.980361995293581</v>
      </c>
      <c r="H64" s="1" t="s">
        <v>91</v>
      </c>
      <c r="I64">
        <f>_xlfn.XLOOKUP(B64,Nodes!$A:$A,Nodes!$B:$B)</f>
        <v>44.407186</v>
      </c>
      <c r="J64">
        <f>_xlfn.XLOOKUP(B64,Nodes!$A:$A,Nodes!$C:$C)</f>
        <v>8.933983</v>
      </c>
      <c r="K64">
        <f>_xlfn.XLOOKUP(D64,Nodes!$A:$A,Nodes!$B:$B)</f>
        <v>43.771389</v>
      </c>
      <c r="L64">
        <f>_xlfn.XLOOKUP(D64,Nodes!$A:$A,Nodes!$C:$C)</f>
        <v>11.254167</v>
      </c>
    </row>
    <row r="65" spans="1:14">
      <c r="A65">
        <v>64</v>
      </c>
      <c r="B65">
        <f>_xlfn.XLOOKUP(C65,Nodes!$D:$D,Nodes!$A:$A)</f>
        <v>39</v>
      </c>
      <c r="C65" s="5" t="s">
        <v>50</v>
      </c>
      <c r="D65">
        <f>_xlfn.XLOOKUP(E65,Nodes!$D:$D,Nodes!$A:$A)</f>
        <v>40</v>
      </c>
      <c r="E65" s="5" t="s">
        <v>51</v>
      </c>
      <c r="F65" s="1">
        <f t="shared" si="2"/>
        <v>80.6489716806713</v>
      </c>
      <c r="G65" s="3">
        <f t="shared" si="3"/>
        <v>0.991967136831756</v>
      </c>
      <c r="H65" s="1" t="s">
        <v>91</v>
      </c>
      <c r="I65">
        <f>_xlfn.XLOOKUP(B65,Nodes!$A:$A,Nodes!$B:$B)</f>
        <v>44.493889</v>
      </c>
      <c r="J65">
        <f>_xlfn.XLOOKUP(B65,Nodes!$A:$A,Nodes!$C:$C)</f>
        <v>11.342778</v>
      </c>
      <c r="K65">
        <f>_xlfn.XLOOKUP(D65,Nodes!$A:$A,Nodes!$B:$B)</f>
        <v>43.771389</v>
      </c>
      <c r="L65">
        <f>_xlfn.XLOOKUP(D65,Nodes!$A:$A,Nodes!$C:$C)</f>
        <v>11.254167</v>
      </c>
    </row>
    <row r="66" spans="1:14">
      <c r="A66">
        <v>65</v>
      </c>
      <c r="B66">
        <f>_xlfn.XLOOKUP(C66,Nodes!$D:$D,Nodes!$A:$A)</f>
        <v>40</v>
      </c>
      <c r="C66" s="5" t="s">
        <v>51</v>
      </c>
      <c r="D66">
        <f>_xlfn.XLOOKUP(E66,Nodes!$D:$D,Nodes!$A:$A)</f>
        <v>41</v>
      </c>
      <c r="E66" s="5" t="s">
        <v>52</v>
      </c>
      <c r="F66" s="1">
        <f>6371*2*ASIN(SQRT(SIN(RADIANS((K66-I66)/2))^2+COS(RADIANS(I66))*COS(RADIANS(K66))*SIN(RADIANS((L66-J66)/2))^2))</f>
        <v>233.561221502951</v>
      </c>
      <c r="G66" s="3">
        <f>(0.9999)^F66</f>
        <v>0.976913379996333</v>
      </c>
      <c r="H66" s="1" t="s">
        <v>91</v>
      </c>
      <c r="I66">
        <f>_xlfn.XLOOKUP(B66,Nodes!$A:$A,Nodes!$B:$B)</f>
        <v>43.771389</v>
      </c>
      <c r="J66">
        <f>_xlfn.XLOOKUP(B66,Nodes!$A:$A,Nodes!$C:$C)</f>
        <v>11.254167</v>
      </c>
      <c r="K66">
        <f>_xlfn.XLOOKUP(D66,Nodes!$A:$A,Nodes!$B:$B)</f>
        <v>41.88</v>
      </c>
      <c r="L66">
        <f>_xlfn.XLOOKUP(D66,Nodes!$A:$A,Nodes!$C:$C)</f>
        <v>12.5</v>
      </c>
    </row>
    <row r="67" spans="1:14">
      <c r="A67">
        <v>66</v>
      </c>
      <c r="B67">
        <f>_xlfn.XLOOKUP(C67,Nodes!$D:$D,Nodes!$A:$A)</f>
        <v>43</v>
      </c>
      <c r="C67" s="5" t="s">
        <v>54</v>
      </c>
      <c r="D67">
        <f>_xlfn.XLOOKUP(E67,Nodes!$D:$D,Nodes!$A:$A)</f>
        <v>41</v>
      </c>
      <c r="E67" s="5" t="s">
        <v>52</v>
      </c>
      <c r="F67" s="1">
        <f>6371*2*ASIN(SQRT(SIN(RADIANS((K67-I67)/2))^2+COS(RADIANS(I67))*COS(RADIANS(K67))*SIN(RADIANS((L67-J67)/2))^2))</f>
        <v>424.30887646152</v>
      </c>
      <c r="G67" s="3">
        <f>(0.9999)^F67</f>
        <v>0.958454670889016</v>
      </c>
      <c r="H67" s="1" t="s">
        <v>91</v>
      </c>
      <c r="I67">
        <f>_xlfn.XLOOKUP(B67,Nodes!$A:$A,Nodes!$B:$B)</f>
        <v>38.12</v>
      </c>
      <c r="J67">
        <f>_xlfn.XLOOKUP(B67,Nodes!$A:$A,Nodes!$C:$C)</f>
        <v>13.35</v>
      </c>
      <c r="K67">
        <f>_xlfn.XLOOKUP(D67,Nodes!$A:$A,Nodes!$B:$B)</f>
        <v>41.88</v>
      </c>
      <c r="L67">
        <f>_xlfn.XLOOKUP(D67,Nodes!$A:$A,Nodes!$C:$C)</f>
        <v>12.5</v>
      </c>
      <c r="N67" s="6"/>
    </row>
    <row r="68" spans="1:14">
      <c r="A68">
        <v>67</v>
      </c>
      <c r="B68">
        <f>_xlfn.XLOOKUP(C68,Nodes!$D:$D,Nodes!$A:$A)</f>
        <v>41</v>
      </c>
      <c r="C68" s="5" t="s">
        <v>52</v>
      </c>
      <c r="D68">
        <f>_xlfn.XLOOKUP(E68,Nodes!$D:$D,Nodes!$A:$A)</f>
        <v>42</v>
      </c>
      <c r="E68" s="5" t="s">
        <v>53</v>
      </c>
      <c r="F68" s="1">
        <f>6371*2*ASIN(SQRT(SIN(RADIANS((K68-I68)/2))^2+COS(RADIANS(I68))*COS(RADIANS(K68))*SIN(RADIANS((L68-J68)/2))^2))</f>
        <v>186.753127167734</v>
      </c>
      <c r="G68" s="3">
        <f>(0.9999)^F68</f>
        <v>0.981497073878982</v>
      </c>
      <c r="H68" s="1" t="s">
        <v>91</v>
      </c>
      <c r="I68">
        <f>_xlfn.XLOOKUP(B68,Nodes!$A:$A,Nodes!$B:$B)</f>
        <v>41.88</v>
      </c>
      <c r="J68">
        <f>_xlfn.XLOOKUP(B68,Nodes!$A:$A,Nodes!$C:$C)</f>
        <v>12.5</v>
      </c>
      <c r="K68">
        <f>_xlfn.XLOOKUP(D68,Nodes!$A:$A,Nodes!$B:$B)</f>
        <v>40.833333</v>
      </c>
      <c r="L68">
        <f>_xlfn.XLOOKUP(D68,Nodes!$A:$A,Nodes!$C:$C)</f>
        <v>14.25</v>
      </c>
      <c r="N68" s="6"/>
    </row>
    <row r="69" spans="1:14">
      <c r="A69">
        <v>68</v>
      </c>
      <c r="B69">
        <f>_xlfn.XLOOKUP(C69,Nodes!$D:$D,Nodes!$A:$A)</f>
        <v>42</v>
      </c>
      <c r="C69" s="5" t="s">
        <v>53</v>
      </c>
      <c r="D69">
        <f>_xlfn.XLOOKUP(E69,Nodes!$D:$D,Nodes!$A:$A)</f>
        <v>43</v>
      </c>
      <c r="E69" s="5" t="s">
        <v>54</v>
      </c>
      <c r="F69" s="1">
        <f>6371*2*ASIN(SQRT(SIN(RADIANS((K69-I69)/2))^2+COS(RADIANS(I69))*COS(RADIANS(K69))*SIN(RADIANS((L69-J69)/2))^2))</f>
        <v>311.435126805117</v>
      </c>
      <c r="G69" s="3">
        <f>(0.9999)^F69</f>
        <v>0.969334941494411</v>
      </c>
      <c r="H69" s="1" t="s">
        <v>91</v>
      </c>
      <c r="I69">
        <f>_xlfn.XLOOKUP(B69,Nodes!$A:$A,Nodes!$B:$B)</f>
        <v>40.833333</v>
      </c>
      <c r="J69">
        <f>_xlfn.XLOOKUP(B69,Nodes!$A:$A,Nodes!$C:$C)</f>
        <v>14.25</v>
      </c>
      <c r="K69">
        <f>_xlfn.XLOOKUP(D69,Nodes!$A:$A,Nodes!$B:$B)</f>
        <v>38.12</v>
      </c>
      <c r="L69">
        <f>_xlfn.XLOOKUP(D69,Nodes!$A:$A,Nodes!$C:$C)</f>
        <v>13.35</v>
      </c>
      <c r="N69" s="6"/>
    </row>
    <row r="70" spans="1:14">
      <c r="A70">
        <v>69</v>
      </c>
      <c r="B70">
        <f>_xlfn.XLOOKUP(C70,Nodes!$D:$D,Nodes!$A:$A)</f>
        <v>45</v>
      </c>
      <c r="C70" s="7" t="s">
        <v>56</v>
      </c>
      <c r="D70">
        <f>_xlfn.XLOOKUP(E70,Nodes!$D:$D,Nodes!$A:$A)</f>
        <v>40</v>
      </c>
      <c r="E70" s="5" t="s">
        <v>51</v>
      </c>
      <c r="F70" s="1">
        <f t="shared" ref="F70:F81" si="4">6371*2*ASIN(SQRT(SIN(RADIANS((K70-I70)/2))^2+COS(RADIANS(I70))*COS(RADIANS(K70))*SIN(RADIANS((L70-J70)/2))^2))</f>
        <v>68.8852383955776</v>
      </c>
      <c r="G70" s="3">
        <f t="shared" ref="G70:G81" si="5">(0.9999)^F70</f>
        <v>0.993134805571209</v>
      </c>
      <c r="H70" s="1" t="s">
        <v>91</v>
      </c>
      <c r="I70">
        <f>_xlfn.XLOOKUP(B70,Nodes!$A:$A,Nodes!$B:$B)</f>
        <v>43.716666666667</v>
      </c>
      <c r="J70">
        <f>_xlfn.XLOOKUP(B70,Nodes!$A:$A,Nodes!$C:$C)</f>
        <v>10.4</v>
      </c>
      <c r="K70">
        <f>_xlfn.XLOOKUP(D70,Nodes!$A:$A,Nodes!$B:$B)</f>
        <v>43.771389</v>
      </c>
      <c r="L70">
        <f>_xlfn.XLOOKUP(D70,Nodes!$A:$A,Nodes!$C:$C)</f>
        <v>11.254167</v>
      </c>
      <c r="N70" s="6"/>
    </row>
    <row r="71" spans="1:14">
      <c r="A71">
        <v>70</v>
      </c>
      <c r="B71">
        <f>_xlfn.XLOOKUP(C71,Nodes!$D:$D,Nodes!$A:$A)</f>
        <v>45</v>
      </c>
      <c r="C71" s="7" t="s">
        <v>56</v>
      </c>
      <c r="D71">
        <f>_xlfn.XLOOKUP(E71,Nodes!$D:$D,Nodes!$A:$A)</f>
        <v>38</v>
      </c>
      <c r="E71" s="5" t="s">
        <v>49</v>
      </c>
      <c r="F71" s="1">
        <f t="shared" si="4"/>
        <v>140.057986074248</v>
      </c>
      <c r="G71" s="3">
        <f t="shared" si="5"/>
        <v>0.986091135690925</v>
      </c>
      <c r="H71" s="1" t="s">
        <v>91</v>
      </c>
      <c r="I71">
        <f>_xlfn.XLOOKUP(B71,Nodes!$A:$A,Nodes!$B:$B)</f>
        <v>43.716666666667</v>
      </c>
      <c r="J71">
        <f>_xlfn.XLOOKUP(B71,Nodes!$A:$A,Nodes!$C:$C)</f>
        <v>10.4</v>
      </c>
      <c r="K71">
        <f>_xlfn.XLOOKUP(D71,Nodes!$A:$A,Nodes!$B:$B)</f>
        <v>44.407186</v>
      </c>
      <c r="L71">
        <f>_xlfn.XLOOKUP(D71,Nodes!$A:$A,Nodes!$C:$C)</f>
        <v>8.933983</v>
      </c>
      <c r="N71" s="8"/>
    </row>
    <row r="72" spans="1:14">
      <c r="A72">
        <v>71</v>
      </c>
      <c r="B72">
        <f>_xlfn.XLOOKUP(C72,Nodes!$D:$D,Nodes!$A:$A)</f>
        <v>45</v>
      </c>
      <c r="C72" s="7" t="s">
        <v>56</v>
      </c>
      <c r="D72">
        <f>_xlfn.XLOOKUP(E72,Nodes!$D:$D,Nodes!$A:$A)</f>
        <v>41</v>
      </c>
      <c r="E72" s="5" t="s">
        <v>52</v>
      </c>
      <c r="F72" s="1">
        <f t="shared" si="4"/>
        <v>266.561602352652</v>
      </c>
      <c r="G72" s="3">
        <f t="shared" si="5"/>
        <v>0.97369468153396</v>
      </c>
      <c r="H72" s="1" t="s">
        <v>91</v>
      </c>
      <c r="I72">
        <f>_xlfn.XLOOKUP(B72,Nodes!$A:$A,Nodes!$B:$B)</f>
        <v>43.716666666667</v>
      </c>
      <c r="J72">
        <f>_xlfn.XLOOKUP(B72,Nodes!$A:$A,Nodes!$C:$C)</f>
        <v>10.4</v>
      </c>
      <c r="K72">
        <f>_xlfn.XLOOKUP(D72,Nodes!$A:$A,Nodes!$B:$B)</f>
        <v>41.88</v>
      </c>
      <c r="L72">
        <f>_xlfn.XLOOKUP(D72,Nodes!$A:$A,Nodes!$C:$C)</f>
        <v>12.5</v>
      </c>
    </row>
    <row r="73" spans="1:14">
      <c r="A73">
        <v>72</v>
      </c>
      <c r="B73">
        <f>_xlfn.XLOOKUP(C73,Nodes!$D:$D,Nodes!$A:$A)</f>
        <v>46</v>
      </c>
      <c r="C73" s="9" t="s">
        <v>57</v>
      </c>
      <c r="D73">
        <f>_xlfn.XLOOKUP(E73,Nodes!$D:$D,Nodes!$A:$A)</f>
        <v>36</v>
      </c>
      <c r="E73" s="5" t="s">
        <v>46</v>
      </c>
      <c r="F73" s="1">
        <f t="shared" si="4"/>
        <v>142.217871927249</v>
      </c>
      <c r="G73" s="3">
        <f t="shared" si="5"/>
        <v>0.985878163613366</v>
      </c>
      <c r="H73" s="1" t="s">
        <v>91</v>
      </c>
      <c r="I73">
        <f>_xlfn.XLOOKUP(B73,Nodes!$A:$A,Nodes!$B:$B)</f>
        <v>45.4386111111111</v>
      </c>
      <c r="J73">
        <f>_xlfn.XLOOKUP(B73,Nodes!$A:$A,Nodes!$C:$C)</f>
        <v>10.9927777777778</v>
      </c>
      <c r="K73">
        <f>_xlfn.XLOOKUP(D73,Nodes!$A:$A,Nodes!$B:$B)</f>
        <v>45.47</v>
      </c>
      <c r="L73">
        <f>_xlfn.XLOOKUP(D73,Nodes!$A:$A,Nodes!$C:$C)</f>
        <v>9.17</v>
      </c>
    </row>
    <row r="74" spans="1:14">
      <c r="A74">
        <v>73</v>
      </c>
      <c r="B74">
        <f>_xlfn.XLOOKUP(C74,Nodes!$D:$D,Nodes!$A:$A)</f>
        <v>46</v>
      </c>
      <c r="C74" s="9" t="s">
        <v>57</v>
      </c>
      <c r="D74">
        <f>_xlfn.XLOOKUP(E74,Nodes!$D:$D,Nodes!$A:$A)</f>
        <v>39</v>
      </c>
      <c r="E74" s="5" t="s">
        <v>50</v>
      </c>
      <c r="F74" s="1">
        <f t="shared" si="4"/>
        <v>108.596887777446</v>
      </c>
      <c r="G74" s="3">
        <f t="shared" si="5"/>
        <v>0.989198527612994</v>
      </c>
      <c r="H74" s="1" t="s">
        <v>91</v>
      </c>
      <c r="I74">
        <f>_xlfn.XLOOKUP(B74,Nodes!$A:$A,Nodes!$B:$B)</f>
        <v>45.4386111111111</v>
      </c>
      <c r="J74">
        <f>_xlfn.XLOOKUP(B74,Nodes!$A:$A,Nodes!$C:$C)</f>
        <v>10.9927777777778</v>
      </c>
      <c r="K74">
        <f>_xlfn.XLOOKUP(D74,Nodes!$A:$A,Nodes!$B:$B)</f>
        <v>44.493889</v>
      </c>
      <c r="L74">
        <f>_xlfn.XLOOKUP(D74,Nodes!$A:$A,Nodes!$C:$C)</f>
        <v>11.342778</v>
      </c>
    </row>
    <row r="75" spans="1:14">
      <c r="A75">
        <v>74</v>
      </c>
      <c r="B75">
        <f>_xlfn.XLOOKUP(C75,Nodes!$D:$D,Nodes!$A:$A)</f>
        <v>48</v>
      </c>
      <c r="C75" s="9" t="s">
        <v>59</v>
      </c>
      <c r="D75">
        <f>_xlfn.XLOOKUP(E75,Nodes!$D:$D,Nodes!$A:$A)</f>
        <v>40</v>
      </c>
      <c r="E75" s="5" t="s">
        <v>51</v>
      </c>
      <c r="F75" s="1">
        <f t="shared" si="4"/>
        <v>182.707062026908</v>
      </c>
      <c r="G75" s="3">
        <f t="shared" si="5"/>
        <v>0.98189429420352</v>
      </c>
      <c r="H75" s="1" t="s">
        <v>91</v>
      </c>
      <c r="I75">
        <f>_xlfn.XLOOKUP(B75,Nodes!$A:$A,Nodes!$B:$B)</f>
        <v>43.616666666667</v>
      </c>
      <c r="J75">
        <f>_xlfn.XLOOKUP(B75,Nodes!$A:$A,Nodes!$C:$C)</f>
        <v>13.516666666667</v>
      </c>
      <c r="K75">
        <f>_xlfn.XLOOKUP(D75,Nodes!$A:$A,Nodes!$B:$B)</f>
        <v>43.771389</v>
      </c>
      <c r="L75">
        <f>_xlfn.XLOOKUP(D75,Nodes!$A:$A,Nodes!$C:$C)</f>
        <v>11.254167</v>
      </c>
    </row>
    <row r="76" spans="1:14">
      <c r="A76">
        <v>75</v>
      </c>
      <c r="B76">
        <f>_xlfn.XLOOKUP(C76,Nodes!$D:$D,Nodes!$A:$A)</f>
        <v>48</v>
      </c>
      <c r="C76" s="9" t="s">
        <v>59</v>
      </c>
      <c r="D76">
        <f>_xlfn.XLOOKUP(E76,Nodes!$D:$D,Nodes!$A:$A)</f>
        <v>47</v>
      </c>
      <c r="E76" s="9" t="s">
        <v>58</v>
      </c>
      <c r="F76" s="1">
        <f t="shared" si="4"/>
        <v>140.117181202027</v>
      </c>
      <c r="G76" s="3">
        <f t="shared" si="5"/>
        <v>0.986085298237247</v>
      </c>
      <c r="H76" s="1" t="s">
        <v>91</v>
      </c>
      <c r="I76">
        <f>_xlfn.XLOOKUP(B76,Nodes!$A:$A,Nodes!$B:$B)</f>
        <v>43.616666666667</v>
      </c>
      <c r="J76">
        <f>_xlfn.XLOOKUP(B76,Nodes!$A:$A,Nodes!$C:$C)</f>
        <v>13.516666666667</v>
      </c>
      <c r="K76">
        <f>_xlfn.XLOOKUP(D76,Nodes!$A:$A,Nodes!$B:$B)</f>
        <v>42.464277777778</v>
      </c>
      <c r="L76">
        <f>_xlfn.XLOOKUP(D76,Nodes!$A:$A,Nodes!$C:$C)</f>
        <v>14.214188888889</v>
      </c>
    </row>
    <row r="77" spans="1:14">
      <c r="A77">
        <v>76</v>
      </c>
      <c r="B77">
        <f>_xlfn.XLOOKUP(C77,Nodes!$D:$D,Nodes!$A:$A)</f>
        <v>48</v>
      </c>
      <c r="C77" s="9" t="s">
        <v>59</v>
      </c>
      <c r="D77">
        <f>_xlfn.XLOOKUP(E77,Nodes!$D:$D,Nodes!$A:$A)</f>
        <v>39</v>
      </c>
      <c r="E77" s="5" t="s">
        <v>50</v>
      </c>
      <c r="F77" s="1">
        <f t="shared" si="4"/>
        <v>199.222056876078</v>
      </c>
      <c r="G77" s="3">
        <f t="shared" si="5"/>
        <v>0.980273953628136</v>
      </c>
      <c r="H77" s="1" t="s">
        <v>91</v>
      </c>
      <c r="I77">
        <f>_xlfn.XLOOKUP(B77,Nodes!$A:$A,Nodes!$B:$B)</f>
        <v>43.616666666667</v>
      </c>
      <c r="J77">
        <f>_xlfn.XLOOKUP(B77,Nodes!$A:$A,Nodes!$C:$C)</f>
        <v>13.516666666667</v>
      </c>
      <c r="K77">
        <f>_xlfn.XLOOKUP(D77,Nodes!$A:$A,Nodes!$B:$B)</f>
        <v>44.493889</v>
      </c>
      <c r="L77">
        <f>_xlfn.XLOOKUP(D77,Nodes!$A:$A,Nodes!$C:$C)</f>
        <v>11.342778</v>
      </c>
    </row>
    <row r="78" spans="1:14">
      <c r="A78">
        <v>77</v>
      </c>
      <c r="B78">
        <f>_xlfn.XLOOKUP(C78,Nodes!$D:$D,Nodes!$A:$A)</f>
        <v>47</v>
      </c>
      <c r="C78" s="9" t="s">
        <v>58</v>
      </c>
      <c r="D78">
        <f>_xlfn.XLOOKUP(E78,Nodes!$D:$D,Nodes!$A:$A)</f>
        <v>42</v>
      </c>
      <c r="E78" s="5" t="s">
        <v>53</v>
      </c>
      <c r="F78" s="1">
        <f t="shared" si="4"/>
        <v>181.377187431226</v>
      </c>
      <c r="G78" s="3">
        <f t="shared" si="5"/>
        <v>0.982024889044667</v>
      </c>
      <c r="H78" s="1" t="s">
        <v>91</v>
      </c>
      <c r="I78">
        <f>_xlfn.XLOOKUP(B78,Nodes!$A:$A,Nodes!$B:$B)</f>
        <v>42.464277777778</v>
      </c>
      <c r="J78">
        <f>_xlfn.XLOOKUP(B78,Nodes!$A:$A,Nodes!$C:$C)</f>
        <v>14.214188888889</v>
      </c>
      <c r="K78">
        <f>_xlfn.XLOOKUP(D78,Nodes!$A:$A,Nodes!$B:$B)</f>
        <v>40.833333</v>
      </c>
      <c r="L78">
        <f>_xlfn.XLOOKUP(D78,Nodes!$A:$A,Nodes!$C:$C)</f>
        <v>14.25</v>
      </c>
    </row>
    <row r="79" spans="1:14">
      <c r="A79">
        <v>78</v>
      </c>
      <c r="B79">
        <f>_xlfn.XLOOKUP(C79,Nodes!$D:$D,Nodes!$A:$A)</f>
        <v>47</v>
      </c>
      <c r="C79" s="9" t="s">
        <v>58</v>
      </c>
      <c r="D79">
        <f>_xlfn.XLOOKUP(E79,Nodes!$D:$D,Nodes!$A:$A)</f>
        <v>41</v>
      </c>
      <c r="E79" s="5" t="s">
        <v>52</v>
      </c>
      <c r="F79" s="1">
        <f t="shared" si="4"/>
        <v>155.485839053492</v>
      </c>
      <c r="G79" s="3">
        <f t="shared" si="5"/>
        <v>0.984570905767343</v>
      </c>
      <c r="H79" s="1" t="s">
        <v>91</v>
      </c>
      <c r="I79">
        <f>_xlfn.XLOOKUP(B79,Nodes!$A:$A,Nodes!$B:$B)</f>
        <v>42.464277777778</v>
      </c>
      <c r="J79">
        <f>_xlfn.XLOOKUP(B79,Nodes!$A:$A,Nodes!$C:$C)</f>
        <v>14.214188888889</v>
      </c>
      <c r="K79">
        <f>_xlfn.XLOOKUP(D79,Nodes!$A:$A,Nodes!$B:$B)</f>
        <v>41.88</v>
      </c>
      <c r="L79">
        <f>_xlfn.XLOOKUP(D79,Nodes!$A:$A,Nodes!$C:$C)</f>
        <v>12.5</v>
      </c>
    </row>
    <row r="80" spans="1:14">
      <c r="A80">
        <v>79</v>
      </c>
      <c r="B80">
        <f>_xlfn.XLOOKUP(C80,Nodes!$D:$D,Nodes!$A:$A)</f>
        <v>44</v>
      </c>
      <c r="C80" s="9" t="s">
        <v>55</v>
      </c>
      <c r="D80">
        <f>_xlfn.XLOOKUP(E80,Nodes!$D:$D,Nodes!$A:$A)</f>
        <v>41</v>
      </c>
      <c r="E80" s="5" t="s">
        <v>52</v>
      </c>
      <c r="F80" s="1">
        <f t="shared" si="4"/>
        <v>411.54158106768</v>
      </c>
      <c r="G80" s="3">
        <f t="shared" si="5"/>
        <v>0.95967920103759</v>
      </c>
      <c r="H80" s="1" t="s">
        <v>91</v>
      </c>
      <c r="I80">
        <f>_xlfn.XLOOKUP(B80,Nodes!$A:$A,Nodes!$B:$B)</f>
        <v>39.216666666667</v>
      </c>
      <c r="J80">
        <f>_xlfn.XLOOKUP(B80,Nodes!$A:$A,Nodes!$C:$C)</f>
        <v>9.1166666666667</v>
      </c>
      <c r="K80">
        <f>_xlfn.XLOOKUP(D80,Nodes!$A:$A,Nodes!$B:$B)</f>
        <v>41.88</v>
      </c>
      <c r="L80">
        <f>_xlfn.XLOOKUP(D80,Nodes!$A:$A,Nodes!$C:$C)</f>
        <v>12.5</v>
      </c>
    </row>
    <row r="81" spans="1:12">
      <c r="A81">
        <v>80</v>
      </c>
      <c r="B81">
        <f>_xlfn.XLOOKUP(C81,Nodes!$D:$D,Nodes!$A:$A)</f>
        <v>44</v>
      </c>
      <c r="C81" s="9" t="s">
        <v>55</v>
      </c>
      <c r="D81">
        <f>_xlfn.XLOOKUP(E81,Nodes!$D:$D,Nodes!$A:$A)</f>
        <v>43</v>
      </c>
      <c r="E81" s="5" t="s">
        <v>54</v>
      </c>
      <c r="F81" s="1">
        <f t="shared" si="4"/>
        <v>387.186225812212</v>
      </c>
      <c r="G81" s="3">
        <f t="shared" si="5"/>
        <v>0.962019499624987</v>
      </c>
      <c r="H81" s="1" t="s">
        <v>91</v>
      </c>
      <c r="I81">
        <f>_xlfn.XLOOKUP(B81,Nodes!$A:$A,Nodes!$B:$B)</f>
        <v>39.216666666667</v>
      </c>
      <c r="J81">
        <f>_xlfn.XLOOKUP(B81,Nodes!$A:$A,Nodes!$C:$C)</f>
        <v>9.1166666666667</v>
      </c>
      <c r="K81">
        <f>_xlfn.XLOOKUP(D81,Nodes!$A:$A,Nodes!$B:$B)</f>
        <v>38.12</v>
      </c>
      <c r="L81">
        <f>_xlfn.XLOOKUP(D81,Nodes!$A:$A,Nodes!$C:$C)</f>
        <v>13.35</v>
      </c>
    </row>
    <row r="82" spans="1:12">
      <c r="A82">
        <v>81</v>
      </c>
      <c r="B82">
        <f>_xlfn.XLOOKUP(C82,Nodes!$D:$D,Nodes!$A:$A)</f>
        <v>49</v>
      </c>
      <c r="C82" s="10" t="s">
        <v>60</v>
      </c>
      <c r="D82">
        <f>_xlfn.XLOOKUP(E82,Nodes!$D:$D,Nodes!$A:$A)</f>
        <v>51</v>
      </c>
      <c r="E82" s="10" t="s">
        <v>63</v>
      </c>
      <c r="F82" s="1">
        <f t="shared" ref="F82:F109" si="6">6371*2*ASIN(SQRT(SIN(RADIANS((K82-I82)/2))^2+COS(RADIANS(I82))*COS(RADIANS(K82))*SIN(RADIANS((L82-J82)/2))^2))</f>
        <v>92.5888838451124</v>
      </c>
      <c r="G82" s="3">
        <f t="shared" ref="G82:G109" si="7">(0.9999)^F82</f>
        <v>0.990783384430394</v>
      </c>
      <c r="H82" s="1" t="s">
        <v>91</v>
      </c>
      <c r="I82">
        <f>_xlfn.XLOOKUP(B82,Nodes!$A:$A,Nodes!$B:$B)</f>
        <v>42.82</v>
      </c>
      <c r="J82">
        <f>_xlfn.XLOOKUP(B82,Nodes!$A:$A,Nodes!$C:$C)</f>
        <v>-1.64</v>
      </c>
      <c r="K82">
        <f>_xlfn.XLOOKUP(D82,Nodes!$A:$A,Nodes!$B:$B)</f>
        <v>43</v>
      </c>
      <c r="L82">
        <f>_xlfn.XLOOKUP(D82,Nodes!$A:$A,Nodes!$C:$C)</f>
        <v>-2.75</v>
      </c>
    </row>
    <row r="83" spans="1:12">
      <c r="A83">
        <v>82</v>
      </c>
      <c r="B83">
        <f>_xlfn.XLOOKUP(C83,Nodes!$D:$D,Nodes!$A:$A)</f>
        <v>49</v>
      </c>
      <c r="C83" s="10" t="s">
        <v>60</v>
      </c>
      <c r="D83">
        <f>_xlfn.XLOOKUP(E83,Nodes!$D:$D,Nodes!$A:$A)</f>
        <v>53</v>
      </c>
      <c r="E83" s="10" t="s">
        <v>65</v>
      </c>
      <c r="F83" s="1">
        <f t="shared" si="6"/>
        <v>143.356997264994</v>
      </c>
      <c r="G83" s="3">
        <f t="shared" si="7"/>
        <v>0.985765860514994</v>
      </c>
      <c r="H83" s="1" t="s">
        <v>91</v>
      </c>
      <c r="I83">
        <f>_xlfn.XLOOKUP(B83,Nodes!$A:$A,Nodes!$B:$B)</f>
        <v>42.82</v>
      </c>
      <c r="J83">
        <f>_xlfn.XLOOKUP(B83,Nodes!$A:$A,Nodes!$C:$C)</f>
        <v>-1.64</v>
      </c>
      <c r="K83">
        <f>_xlfn.XLOOKUP(D83,Nodes!$A:$A,Nodes!$B:$B)</f>
        <v>41.66</v>
      </c>
      <c r="L83">
        <f>_xlfn.XLOOKUP(D83,Nodes!$A:$A,Nodes!$C:$C)</f>
        <v>-0.88</v>
      </c>
    </row>
    <row r="84" spans="1:12">
      <c r="A84">
        <v>83</v>
      </c>
      <c r="B84">
        <f>_xlfn.XLOOKUP(C84,Nodes!$D:$D,Nodes!$A:$A)</f>
        <v>50</v>
      </c>
      <c r="C84" s="10" t="s">
        <v>62</v>
      </c>
      <c r="D84">
        <f>_xlfn.XLOOKUP(E84,Nodes!$D:$D,Nodes!$A:$A)</f>
        <v>58</v>
      </c>
      <c r="E84" s="10" t="s">
        <v>70</v>
      </c>
      <c r="F84" s="1">
        <f t="shared" si="6"/>
        <v>208.396664734999</v>
      </c>
      <c r="G84" s="3">
        <f t="shared" si="7"/>
        <v>0.979374958225308</v>
      </c>
      <c r="H84" s="1" t="s">
        <v>91</v>
      </c>
      <c r="I84">
        <f>_xlfn.XLOOKUP(B84,Nodes!$A:$A,Nodes!$B:$B)</f>
        <v>42.47</v>
      </c>
      <c r="J84">
        <f>_xlfn.XLOOKUP(B84,Nodes!$A:$A,Nodes!$C:$C)</f>
        <v>-2.45</v>
      </c>
      <c r="K84">
        <f>_xlfn.XLOOKUP(D84,Nodes!$A:$A,Nodes!$B:$B)</f>
        <v>41.65</v>
      </c>
      <c r="L84">
        <f>_xlfn.XLOOKUP(D84,Nodes!$A:$A,Nodes!$C:$C)</f>
        <v>-4.72</v>
      </c>
    </row>
    <row r="85" spans="1:12">
      <c r="A85">
        <v>84</v>
      </c>
      <c r="B85">
        <f>_xlfn.XLOOKUP(C85,Nodes!$D:$D,Nodes!$A:$A)</f>
        <v>50</v>
      </c>
      <c r="C85" s="10" t="s">
        <v>62</v>
      </c>
      <c r="D85">
        <f>_xlfn.XLOOKUP(E85,Nodes!$D:$D,Nodes!$A:$A)</f>
        <v>53</v>
      </c>
      <c r="E85" s="10" t="s">
        <v>65</v>
      </c>
      <c r="F85" s="1">
        <f t="shared" si="6"/>
        <v>157.821552583903</v>
      </c>
      <c r="G85" s="3">
        <f t="shared" si="7"/>
        <v>0.984340953567086</v>
      </c>
      <c r="H85" s="1" t="s">
        <v>91</v>
      </c>
      <c r="I85">
        <f>_xlfn.XLOOKUP(B85,Nodes!$A:$A,Nodes!$B:$B)</f>
        <v>42.47</v>
      </c>
      <c r="J85">
        <f>_xlfn.XLOOKUP(B85,Nodes!$A:$A,Nodes!$C:$C)</f>
        <v>-2.45</v>
      </c>
      <c r="K85">
        <f>_xlfn.XLOOKUP(D85,Nodes!$A:$A,Nodes!$B:$B)</f>
        <v>41.66</v>
      </c>
      <c r="L85">
        <f>_xlfn.XLOOKUP(D85,Nodes!$A:$A,Nodes!$C:$C)</f>
        <v>-0.88</v>
      </c>
    </row>
    <row r="86" spans="1:12">
      <c r="A86">
        <v>85</v>
      </c>
      <c r="B86">
        <f>_xlfn.XLOOKUP(C86,Nodes!$D:$D,Nodes!$A:$A)</f>
        <v>51</v>
      </c>
      <c r="C86" s="10" t="s">
        <v>63</v>
      </c>
      <c r="D86">
        <f>_xlfn.XLOOKUP(E86,Nodes!$D:$D,Nodes!$A:$A)</f>
        <v>55</v>
      </c>
      <c r="E86" s="10" t="s">
        <v>67</v>
      </c>
      <c r="F86" s="1">
        <f t="shared" si="6"/>
        <v>472.227351798503</v>
      </c>
      <c r="G86" s="3">
        <f t="shared" si="7"/>
        <v>0.9538726600505</v>
      </c>
      <c r="H86" s="1" t="s">
        <v>91</v>
      </c>
      <c r="I86">
        <f>_xlfn.XLOOKUP(B86,Nodes!$A:$A,Nodes!$B:$B)</f>
        <v>43</v>
      </c>
      <c r="J86">
        <f>_xlfn.XLOOKUP(B86,Nodes!$A:$A,Nodes!$C:$C)</f>
        <v>-2.75</v>
      </c>
      <c r="K86">
        <f>_xlfn.XLOOKUP(D86,Nodes!$A:$A,Nodes!$B:$B)</f>
        <v>42.88</v>
      </c>
      <c r="L86">
        <f>_xlfn.XLOOKUP(D86,Nodes!$A:$A,Nodes!$C:$C)</f>
        <v>-8.55</v>
      </c>
    </row>
    <row r="87" spans="1:12">
      <c r="A87">
        <v>86</v>
      </c>
      <c r="B87">
        <f>_xlfn.XLOOKUP(C87,Nodes!$D:$D,Nodes!$A:$A)</f>
        <v>51</v>
      </c>
      <c r="C87" s="10" t="s">
        <v>63</v>
      </c>
      <c r="D87">
        <f>_xlfn.XLOOKUP(E87,Nodes!$D:$D,Nodes!$A:$A)</f>
        <v>57</v>
      </c>
      <c r="E87" s="10" t="s">
        <v>69</v>
      </c>
      <c r="F87" s="1">
        <f t="shared" si="6"/>
        <v>297.517943605969</v>
      </c>
      <c r="G87" s="3">
        <f t="shared" si="7"/>
        <v>0.970684989419441</v>
      </c>
      <c r="H87" s="1" t="s">
        <v>91</v>
      </c>
      <c r="I87">
        <f>_xlfn.XLOOKUP(B87,Nodes!$A:$A,Nodes!$B:$B)</f>
        <v>43</v>
      </c>
      <c r="J87">
        <f>_xlfn.XLOOKUP(B87,Nodes!$A:$A,Nodes!$C:$C)</f>
        <v>-2.75</v>
      </c>
      <c r="K87">
        <f>_xlfn.XLOOKUP(D87,Nodes!$A:$A,Nodes!$B:$B)</f>
        <v>40.42</v>
      </c>
      <c r="L87">
        <f>_xlfn.XLOOKUP(D87,Nodes!$A:$A,Nodes!$C:$C)</f>
        <v>-3.7</v>
      </c>
    </row>
    <row r="88" spans="1:12">
      <c r="A88">
        <v>87</v>
      </c>
      <c r="B88">
        <f>_xlfn.XLOOKUP(C88,Nodes!$D:$D,Nodes!$A:$A)</f>
        <v>52</v>
      </c>
      <c r="C88" s="10" t="s">
        <v>64</v>
      </c>
      <c r="D88">
        <f>_xlfn.XLOOKUP(E88,Nodes!$D:$D,Nodes!$A:$A)</f>
        <v>56</v>
      </c>
      <c r="E88" s="10" t="s">
        <v>68</v>
      </c>
      <c r="F88" s="1">
        <f t="shared" si="6"/>
        <v>541.006117352401</v>
      </c>
      <c r="G88" s="3">
        <f t="shared" si="7"/>
        <v>0.947334225766308</v>
      </c>
      <c r="H88" s="1" t="s">
        <v>91</v>
      </c>
      <c r="I88">
        <f>_xlfn.XLOOKUP(B88,Nodes!$A:$A,Nodes!$B:$B)</f>
        <v>39.47</v>
      </c>
      <c r="J88">
        <f>_xlfn.XLOOKUP(B88,Nodes!$A:$A,Nodes!$C:$C)</f>
        <v>-0.38</v>
      </c>
      <c r="K88">
        <f>_xlfn.XLOOKUP(D88,Nodes!$A:$A,Nodes!$B:$B)</f>
        <v>37.38</v>
      </c>
      <c r="L88">
        <f>_xlfn.XLOOKUP(D88,Nodes!$A:$A,Nodes!$C:$C)</f>
        <v>-5.99</v>
      </c>
    </row>
    <row r="89" spans="1:12">
      <c r="A89">
        <v>88</v>
      </c>
      <c r="B89">
        <f>_xlfn.XLOOKUP(C89,Nodes!$D:$D,Nodes!$A:$A)</f>
        <v>52</v>
      </c>
      <c r="C89" s="10" t="s">
        <v>64</v>
      </c>
      <c r="D89">
        <f>_xlfn.XLOOKUP(E89,Nodes!$D:$D,Nodes!$A:$A)</f>
        <v>57</v>
      </c>
      <c r="E89" s="10" t="s">
        <v>69</v>
      </c>
      <c r="F89" s="1">
        <f t="shared" si="6"/>
        <v>302.072227883406</v>
      </c>
      <c r="G89" s="3">
        <f t="shared" si="7"/>
        <v>0.970242990437649</v>
      </c>
      <c r="H89" s="1" t="s">
        <v>91</v>
      </c>
      <c r="I89">
        <f>_xlfn.XLOOKUP(B89,Nodes!$A:$A,Nodes!$B:$B)</f>
        <v>39.47</v>
      </c>
      <c r="J89">
        <f>_xlfn.XLOOKUP(B89,Nodes!$A:$A,Nodes!$C:$C)</f>
        <v>-0.38</v>
      </c>
      <c r="K89">
        <f>_xlfn.XLOOKUP(D89,Nodes!$A:$A,Nodes!$B:$B)</f>
        <v>40.42</v>
      </c>
      <c r="L89">
        <f>_xlfn.XLOOKUP(D89,Nodes!$A:$A,Nodes!$C:$C)</f>
        <v>-3.7</v>
      </c>
    </row>
    <row r="90" spans="1:12">
      <c r="A90">
        <v>89</v>
      </c>
      <c r="B90">
        <f>_xlfn.XLOOKUP(C90,Nodes!$D:$D,Nodes!$A:$A)</f>
        <v>52</v>
      </c>
      <c r="C90" s="10" t="s">
        <v>64</v>
      </c>
      <c r="D90">
        <f>_xlfn.XLOOKUP(E90,Nodes!$D:$D,Nodes!$A:$A)</f>
        <v>54</v>
      </c>
      <c r="E90" s="10" t="s">
        <v>66</v>
      </c>
      <c r="F90" s="1">
        <f t="shared" si="6"/>
        <v>302.957525174701</v>
      </c>
      <c r="G90" s="3">
        <f t="shared" si="7"/>
        <v>0.970157094595876</v>
      </c>
      <c r="H90" s="1" t="s">
        <v>91</v>
      </c>
      <c r="I90">
        <f>_xlfn.XLOOKUP(B90,Nodes!$A:$A,Nodes!$B:$B)</f>
        <v>39.47</v>
      </c>
      <c r="J90">
        <f>_xlfn.XLOOKUP(B90,Nodes!$A:$A,Nodes!$C:$C)</f>
        <v>-0.38</v>
      </c>
      <c r="K90">
        <f>_xlfn.XLOOKUP(D90,Nodes!$A:$A,Nodes!$B:$B)</f>
        <v>41.39</v>
      </c>
      <c r="L90">
        <f>_xlfn.XLOOKUP(D90,Nodes!$A:$A,Nodes!$C:$C)</f>
        <v>2.16</v>
      </c>
    </row>
    <row r="91" spans="1:12">
      <c r="A91">
        <v>90</v>
      </c>
      <c r="B91">
        <f>_xlfn.XLOOKUP(C91,Nodes!$D:$D,Nodes!$A:$A)</f>
        <v>53</v>
      </c>
      <c r="C91" s="10" t="s">
        <v>65</v>
      </c>
      <c r="D91">
        <f>_xlfn.XLOOKUP(E91,Nodes!$D:$D,Nodes!$A:$A)</f>
        <v>57</v>
      </c>
      <c r="E91" s="10" t="s">
        <v>69</v>
      </c>
      <c r="F91" s="1">
        <f t="shared" si="6"/>
        <v>273.74533257659</v>
      </c>
      <c r="G91" s="3">
        <f t="shared" si="7"/>
        <v>0.972995421773874</v>
      </c>
      <c r="H91" s="1" t="s">
        <v>91</v>
      </c>
      <c r="I91">
        <f>_xlfn.XLOOKUP(B91,Nodes!$A:$A,Nodes!$B:$B)</f>
        <v>41.66</v>
      </c>
      <c r="J91">
        <f>_xlfn.XLOOKUP(B91,Nodes!$A:$A,Nodes!$C:$C)</f>
        <v>-0.88</v>
      </c>
      <c r="K91">
        <f>_xlfn.XLOOKUP(D91,Nodes!$A:$A,Nodes!$B:$B)</f>
        <v>40.42</v>
      </c>
      <c r="L91">
        <f>_xlfn.XLOOKUP(D91,Nodes!$A:$A,Nodes!$C:$C)</f>
        <v>-3.7</v>
      </c>
    </row>
    <row r="92" spans="1:12">
      <c r="A92">
        <v>91</v>
      </c>
      <c r="B92">
        <f>_xlfn.XLOOKUP(C92,Nodes!$D:$D,Nodes!$A:$A)</f>
        <v>53</v>
      </c>
      <c r="C92" s="10" t="s">
        <v>65</v>
      </c>
      <c r="D92">
        <f>_xlfn.XLOOKUP(E92,Nodes!$D:$D,Nodes!$A:$A)</f>
        <v>54</v>
      </c>
      <c r="E92" s="10" t="s">
        <v>66</v>
      </c>
      <c r="F92" s="1">
        <f t="shared" si="6"/>
        <v>254.834538392448</v>
      </c>
      <c r="G92" s="3">
        <f t="shared" si="7"/>
        <v>0.974837266472347</v>
      </c>
      <c r="H92" s="1" t="s">
        <v>91</v>
      </c>
      <c r="I92">
        <f>_xlfn.XLOOKUP(B92,Nodes!$A:$A,Nodes!$B:$B)</f>
        <v>41.66</v>
      </c>
      <c r="J92">
        <f>_xlfn.XLOOKUP(B92,Nodes!$A:$A,Nodes!$C:$C)</f>
        <v>-0.88</v>
      </c>
      <c r="K92">
        <f>_xlfn.XLOOKUP(D92,Nodes!$A:$A,Nodes!$B:$B)</f>
        <v>41.39</v>
      </c>
      <c r="L92">
        <f>_xlfn.XLOOKUP(D92,Nodes!$A:$A,Nodes!$C:$C)</f>
        <v>2.16</v>
      </c>
    </row>
    <row r="93" spans="1:12">
      <c r="A93">
        <v>92</v>
      </c>
      <c r="B93">
        <f>_xlfn.XLOOKUP(C93,Nodes!$D:$D,Nodes!$A:$A)</f>
        <v>54</v>
      </c>
      <c r="C93" s="10" t="s">
        <v>66</v>
      </c>
      <c r="D93">
        <f>_xlfn.XLOOKUP(E93,Nodes!$D:$D,Nodes!$A:$A)</f>
        <v>57</v>
      </c>
      <c r="E93" s="10" t="s">
        <v>69</v>
      </c>
      <c r="F93" s="1">
        <f t="shared" si="6"/>
        <v>504.042882560593</v>
      </c>
      <c r="G93" s="3">
        <f t="shared" si="7"/>
        <v>0.950842534853999</v>
      </c>
      <c r="H93" s="1" t="s">
        <v>91</v>
      </c>
      <c r="I93">
        <f>_xlfn.XLOOKUP(B93,Nodes!$A:$A,Nodes!$B:$B)</f>
        <v>41.39</v>
      </c>
      <c r="J93">
        <f>_xlfn.XLOOKUP(B93,Nodes!$A:$A,Nodes!$C:$C)</f>
        <v>2.16</v>
      </c>
      <c r="K93">
        <f>_xlfn.XLOOKUP(D93,Nodes!$A:$A,Nodes!$B:$B)</f>
        <v>40.42</v>
      </c>
      <c r="L93">
        <f>_xlfn.XLOOKUP(D93,Nodes!$A:$A,Nodes!$C:$C)</f>
        <v>-3.7</v>
      </c>
    </row>
    <row r="94" spans="1:12">
      <c r="A94">
        <v>93</v>
      </c>
      <c r="B94">
        <f>_xlfn.XLOOKUP(C94,Nodes!$D:$D,Nodes!$A:$A)</f>
        <v>55</v>
      </c>
      <c r="C94" s="10" t="s">
        <v>67</v>
      </c>
      <c r="D94">
        <f>_xlfn.XLOOKUP(E94,Nodes!$D:$D,Nodes!$A:$A)</f>
        <v>57</v>
      </c>
      <c r="E94" s="10" t="s">
        <v>69</v>
      </c>
      <c r="F94" s="1">
        <f t="shared" si="6"/>
        <v>486.911562604414</v>
      </c>
      <c r="G94" s="3">
        <f t="shared" si="7"/>
        <v>0.952472931287817</v>
      </c>
      <c r="H94" s="1" t="s">
        <v>91</v>
      </c>
      <c r="I94">
        <f>_xlfn.XLOOKUP(B94,Nodes!$A:$A,Nodes!$B:$B)</f>
        <v>42.88</v>
      </c>
      <c r="J94">
        <f>_xlfn.XLOOKUP(B94,Nodes!$A:$A,Nodes!$C:$C)</f>
        <v>-8.55</v>
      </c>
      <c r="K94">
        <f>_xlfn.XLOOKUP(D94,Nodes!$A:$A,Nodes!$B:$B)</f>
        <v>40.42</v>
      </c>
      <c r="L94">
        <f>_xlfn.XLOOKUP(D94,Nodes!$A:$A,Nodes!$C:$C)</f>
        <v>-3.7</v>
      </c>
    </row>
    <row r="95" spans="1:12">
      <c r="A95">
        <v>94</v>
      </c>
      <c r="B95">
        <f>_xlfn.XLOOKUP(C95,Nodes!$D:$D,Nodes!$A:$A)</f>
        <v>55</v>
      </c>
      <c r="C95" s="10" t="s">
        <v>67</v>
      </c>
      <c r="D95">
        <f>_xlfn.XLOOKUP(E95,Nodes!$D:$D,Nodes!$A:$A)</f>
        <v>58</v>
      </c>
      <c r="E95" s="10" t="s">
        <v>70</v>
      </c>
      <c r="F95" s="1">
        <f t="shared" si="6"/>
        <v>343.519926441526</v>
      </c>
      <c r="G95" s="3">
        <f t="shared" si="7"/>
        <v>0.966229678741526</v>
      </c>
      <c r="H95" s="1" t="s">
        <v>91</v>
      </c>
      <c r="I95">
        <f>_xlfn.XLOOKUP(B95,Nodes!$A:$A,Nodes!$B:$B)</f>
        <v>42.88</v>
      </c>
      <c r="J95">
        <f>_xlfn.XLOOKUP(B95,Nodes!$A:$A,Nodes!$C:$C)</f>
        <v>-8.55</v>
      </c>
      <c r="K95">
        <f>_xlfn.XLOOKUP(D95,Nodes!$A:$A,Nodes!$B:$B)</f>
        <v>41.65</v>
      </c>
      <c r="L95">
        <f>_xlfn.XLOOKUP(D95,Nodes!$A:$A,Nodes!$C:$C)</f>
        <v>-4.72</v>
      </c>
    </row>
    <row r="96" spans="1:12">
      <c r="A96">
        <v>95</v>
      </c>
      <c r="B96">
        <f>_xlfn.XLOOKUP(C96,Nodes!$D:$D,Nodes!$A:$A)</f>
        <v>56</v>
      </c>
      <c r="C96" s="10" t="s">
        <v>68</v>
      </c>
      <c r="D96">
        <f>_xlfn.XLOOKUP(E96,Nodes!$D:$D,Nodes!$A:$A)</f>
        <v>57</v>
      </c>
      <c r="E96" s="10" t="s">
        <v>69</v>
      </c>
      <c r="F96" s="1">
        <f t="shared" si="6"/>
        <v>391.800598784157</v>
      </c>
      <c r="G96" s="3">
        <f t="shared" si="7"/>
        <v>0.96157566816336</v>
      </c>
      <c r="H96" s="1" t="s">
        <v>91</v>
      </c>
      <c r="I96">
        <f>_xlfn.XLOOKUP(B96,Nodes!$A:$A,Nodes!$B:$B)</f>
        <v>37.38</v>
      </c>
      <c r="J96">
        <f>_xlfn.XLOOKUP(B96,Nodes!$A:$A,Nodes!$C:$C)</f>
        <v>-5.99</v>
      </c>
      <c r="K96">
        <f>_xlfn.XLOOKUP(D96,Nodes!$A:$A,Nodes!$B:$B)</f>
        <v>40.42</v>
      </c>
      <c r="L96">
        <f>_xlfn.XLOOKUP(D96,Nodes!$A:$A,Nodes!$C:$C)</f>
        <v>-3.7</v>
      </c>
    </row>
    <row r="97" spans="1:12">
      <c r="A97">
        <v>96</v>
      </c>
      <c r="B97">
        <f>_xlfn.XLOOKUP(C97,Nodes!$D:$D,Nodes!$A:$A)</f>
        <v>56</v>
      </c>
      <c r="C97" s="10" t="s">
        <v>68</v>
      </c>
      <c r="D97">
        <f>_xlfn.XLOOKUP(E97,Nodes!$D:$D,Nodes!$A:$A)</f>
        <v>54</v>
      </c>
      <c r="E97" s="10" t="s">
        <v>66</v>
      </c>
      <c r="F97" s="1">
        <f t="shared" si="6"/>
        <v>829.749976490022</v>
      </c>
      <c r="G97" s="3">
        <f t="shared" si="7"/>
        <v>0.920370339801384</v>
      </c>
      <c r="H97" s="1" t="s">
        <v>91</v>
      </c>
      <c r="I97">
        <f>_xlfn.XLOOKUP(B97,Nodes!$A:$A,Nodes!$B:$B)</f>
        <v>37.38</v>
      </c>
      <c r="J97">
        <f>_xlfn.XLOOKUP(B97,Nodes!$A:$A,Nodes!$C:$C)</f>
        <v>-5.99</v>
      </c>
      <c r="K97">
        <f>_xlfn.XLOOKUP(D97,Nodes!$A:$A,Nodes!$B:$B)</f>
        <v>41.39</v>
      </c>
      <c r="L97">
        <f>_xlfn.XLOOKUP(D97,Nodes!$A:$A,Nodes!$C:$C)</f>
        <v>2.16</v>
      </c>
    </row>
    <row r="98" spans="1:12">
      <c r="A98">
        <v>97</v>
      </c>
      <c r="B98">
        <f>_xlfn.XLOOKUP(C98,Nodes!$D:$D,Nodes!$A:$A)</f>
        <v>57</v>
      </c>
      <c r="C98" s="10" t="s">
        <v>69</v>
      </c>
      <c r="D98">
        <f>_xlfn.XLOOKUP(E98,Nodes!$D:$D,Nodes!$A:$A)</f>
        <v>58</v>
      </c>
      <c r="E98" s="10" t="s">
        <v>70</v>
      </c>
      <c r="F98" s="1">
        <f t="shared" si="6"/>
        <v>161.320321664739</v>
      </c>
      <c r="G98" s="3">
        <f t="shared" si="7"/>
        <v>0.983996598424177</v>
      </c>
      <c r="H98" s="1" t="s">
        <v>91</v>
      </c>
      <c r="I98">
        <f>_xlfn.XLOOKUP(B98,Nodes!$A:$A,Nodes!$B:$B)</f>
        <v>40.42</v>
      </c>
      <c r="J98">
        <f>_xlfn.XLOOKUP(B98,Nodes!$A:$A,Nodes!$C:$C)</f>
        <v>-3.7</v>
      </c>
      <c r="K98">
        <f>_xlfn.XLOOKUP(D98,Nodes!$A:$A,Nodes!$B:$B)</f>
        <v>41.65</v>
      </c>
      <c r="L98">
        <f>_xlfn.XLOOKUP(D98,Nodes!$A:$A,Nodes!$C:$C)</f>
        <v>-4.72</v>
      </c>
    </row>
    <row r="99" spans="1:12">
      <c r="A99">
        <v>98</v>
      </c>
      <c r="B99">
        <f>_xlfn.XLOOKUP(C99,Nodes!$D:$D,Nodes!$A:$A)</f>
        <v>59</v>
      </c>
      <c r="C99" s="5" t="s">
        <v>71</v>
      </c>
      <c r="D99">
        <f>_xlfn.XLOOKUP(E99,Nodes!$D:$D,Nodes!$A:$A)</f>
        <v>60</v>
      </c>
      <c r="E99" s="5" t="s">
        <v>73</v>
      </c>
      <c r="F99" s="1">
        <f t="shared" si="6"/>
        <v>78.1876918183116</v>
      </c>
      <c r="G99" s="3">
        <f t="shared" si="7"/>
        <v>0.992211329965566</v>
      </c>
      <c r="H99" s="1" t="s">
        <v>91</v>
      </c>
      <c r="I99">
        <f>_xlfn.XLOOKUP(B99,Nodes!$A:$A,Nodes!$B:$B)</f>
        <v>46.52</v>
      </c>
      <c r="J99">
        <f>_xlfn.XLOOKUP(B99,Nodes!$A:$A,Nodes!$C:$C)</f>
        <v>6.634</v>
      </c>
      <c r="K99">
        <f>_xlfn.XLOOKUP(D99,Nodes!$A:$A,Nodes!$B:$B)</f>
        <v>46.948</v>
      </c>
      <c r="L99">
        <f>_xlfn.XLOOKUP(D99,Nodes!$A:$A,Nodes!$C:$C)</f>
        <v>7.448</v>
      </c>
    </row>
    <row r="100" spans="1:12">
      <c r="A100">
        <v>99</v>
      </c>
      <c r="B100">
        <f>_xlfn.XLOOKUP(C100,Nodes!$D:$D,Nodes!$A:$A)</f>
        <v>59</v>
      </c>
      <c r="C100" s="5" t="s">
        <v>71</v>
      </c>
      <c r="D100">
        <f>_xlfn.XLOOKUP(E100,Nodes!$D:$D,Nodes!$A:$A)</f>
        <v>61</v>
      </c>
      <c r="E100" s="5" t="s">
        <v>74</v>
      </c>
      <c r="F100" s="1">
        <f t="shared" si="6"/>
        <v>173.299027353533</v>
      </c>
      <c r="G100" s="3">
        <f t="shared" si="7"/>
        <v>0.982818544674208</v>
      </c>
      <c r="H100" s="1" t="s">
        <v>91</v>
      </c>
      <c r="I100">
        <f>_xlfn.XLOOKUP(B100,Nodes!$A:$A,Nodes!$B:$B)</f>
        <v>46.52</v>
      </c>
      <c r="J100">
        <f>_xlfn.XLOOKUP(B100,Nodes!$A:$A,Nodes!$C:$C)</f>
        <v>6.634</v>
      </c>
      <c r="K100">
        <f>_xlfn.XLOOKUP(D100,Nodes!$A:$A,Nodes!$B:$B)</f>
        <v>47.377</v>
      </c>
      <c r="L100">
        <f>_xlfn.XLOOKUP(D100,Nodes!$A:$A,Nodes!$C:$C)</f>
        <v>8.541</v>
      </c>
    </row>
    <row r="101" spans="1:12">
      <c r="A101">
        <v>100</v>
      </c>
      <c r="B101">
        <f>_xlfn.XLOOKUP(C101,Nodes!$D:$D,Nodes!$A:$A)</f>
        <v>64</v>
      </c>
      <c r="C101" s="5" t="s">
        <v>77</v>
      </c>
      <c r="D101">
        <f>_xlfn.XLOOKUP(E101,Nodes!$D:$D,Nodes!$A:$A)</f>
        <v>59</v>
      </c>
      <c r="E101" s="5" t="s">
        <v>71</v>
      </c>
      <c r="F101" s="1">
        <f t="shared" si="6"/>
        <v>51.4991282836838</v>
      </c>
      <c r="G101" s="3">
        <f t="shared" si="7"/>
        <v>0.994863069047974</v>
      </c>
      <c r="H101" s="1" t="s">
        <v>91</v>
      </c>
      <c r="I101">
        <f>_xlfn.XLOOKUP(B101,Nodes!$A:$A,Nodes!$B:$B)</f>
        <v>46.205</v>
      </c>
      <c r="J101">
        <f>_xlfn.XLOOKUP(B101,Nodes!$A:$A,Nodes!$C:$C)</f>
        <v>6.142</v>
      </c>
      <c r="K101">
        <f>_xlfn.XLOOKUP(D101,Nodes!$A:$A,Nodes!$B:$B)</f>
        <v>46.52</v>
      </c>
      <c r="L101">
        <f>_xlfn.XLOOKUP(D101,Nodes!$A:$A,Nodes!$C:$C)</f>
        <v>6.634</v>
      </c>
    </row>
    <row r="102" spans="1:12">
      <c r="A102">
        <v>101</v>
      </c>
      <c r="B102">
        <f>_xlfn.XLOOKUP(C102,Nodes!$D:$D,Nodes!$A:$A)</f>
        <v>59</v>
      </c>
      <c r="C102" s="5" t="s">
        <v>71</v>
      </c>
      <c r="D102">
        <f>_xlfn.XLOOKUP(E102,Nodes!$D:$D,Nodes!$A:$A)</f>
        <v>62</v>
      </c>
      <c r="E102" s="5" t="s">
        <v>75</v>
      </c>
      <c r="F102" s="1">
        <f t="shared" si="6"/>
        <v>184.232238003794</v>
      </c>
      <c r="G102" s="3">
        <f t="shared" si="7"/>
        <v>0.981744541977063</v>
      </c>
      <c r="H102" s="1" t="s">
        <v>91</v>
      </c>
      <c r="I102">
        <f>_xlfn.XLOOKUP(B102,Nodes!$A:$A,Nodes!$B:$B)</f>
        <v>46.52</v>
      </c>
      <c r="J102">
        <f>_xlfn.XLOOKUP(B102,Nodes!$A:$A,Nodes!$C:$C)</f>
        <v>6.634</v>
      </c>
      <c r="K102">
        <f>_xlfn.XLOOKUP(D102,Nodes!$A:$A,Nodes!$B:$B)</f>
        <v>46.028</v>
      </c>
      <c r="L102">
        <f>_xlfn.XLOOKUP(D102,Nodes!$A:$A,Nodes!$C:$C)</f>
        <v>8.923</v>
      </c>
    </row>
    <row r="103" spans="1:12">
      <c r="A103">
        <v>102</v>
      </c>
      <c r="B103">
        <f>_xlfn.XLOOKUP(C103,Nodes!$D:$D,Nodes!$A:$A)</f>
        <v>59</v>
      </c>
      <c r="C103" s="5" t="s">
        <v>71</v>
      </c>
      <c r="D103">
        <f>_xlfn.XLOOKUP(E103,Nodes!$D:$D,Nodes!$A:$A)</f>
        <v>63</v>
      </c>
      <c r="E103" s="5" t="s">
        <v>76</v>
      </c>
      <c r="F103" s="1">
        <f t="shared" si="6"/>
        <v>56.8887297698119</v>
      </c>
      <c r="G103" s="3">
        <f t="shared" si="7"/>
        <v>0.994326995170495</v>
      </c>
      <c r="H103" s="1" t="s">
        <v>91</v>
      </c>
      <c r="I103">
        <f>_xlfn.XLOOKUP(B103,Nodes!$A:$A,Nodes!$B:$B)</f>
        <v>46.52</v>
      </c>
      <c r="J103">
        <f>_xlfn.XLOOKUP(B103,Nodes!$A:$A,Nodes!$C:$C)</f>
        <v>6.634</v>
      </c>
      <c r="K103">
        <f>_xlfn.XLOOKUP(D103,Nodes!$A:$A,Nodes!$B:$B)</f>
        <v>46.99</v>
      </c>
      <c r="L103">
        <f>_xlfn.XLOOKUP(D103,Nodes!$A:$A,Nodes!$C:$C)</f>
        <v>6.929</v>
      </c>
    </row>
    <row r="104" spans="1:12">
      <c r="A104">
        <v>103</v>
      </c>
      <c r="B104">
        <f>_xlfn.XLOOKUP(C104,Nodes!$D:$D,Nodes!$A:$A)</f>
        <v>60</v>
      </c>
      <c r="C104" s="5" t="s">
        <v>73</v>
      </c>
      <c r="D104">
        <f>_xlfn.XLOOKUP(E104,Nodes!$D:$D,Nodes!$A:$A)</f>
        <v>65</v>
      </c>
      <c r="E104" s="5" t="s">
        <v>78</v>
      </c>
      <c r="F104" s="1">
        <f t="shared" si="6"/>
        <v>68.87830574744</v>
      </c>
      <c r="G104" s="3">
        <f t="shared" si="7"/>
        <v>0.993135494111292</v>
      </c>
      <c r="H104" s="1" t="s">
        <v>91</v>
      </c>
      <c r="I104">
        <f>_xlfn.XLOOKUP(B104,Nodes!$A:$A,Nodes!$B:$B)</f>
        <v>46.948</v>
      </c>
      <c r="J104">
        <f>_xlfn.XLOOKUP(B104,Nodes!$A:$A,Nodes!$C:$C)</f>
        <v>7.448</v>
      </c>
      <c r="K104">
        <f>_xlfn.XLOOKUP(D104,Nodes!$A:$A,Nodes!$B:$B)</f>
        <v>47.56</v>
      </c>
      <c r="L104">
        <f>_xlfn.XLOOKUP(D104,Nodes!$A:$A,Nodes!$C:$C)</f>
        <v>7.589</v>
      </c>
    </row>
    <row r="105" spans="1:12">
      <c r="A105">
        <v>104</v>
      </c>
      <c r="B105">
        <f>_xlfn.XLOOKUP(C105,Nodes!$D:$D,Nodes!$A:$A)</f>
        <v>60</v>
      </c>
      <c r="C105" s="5" t="s">
        <v>73</v>
      </c>
      <c r="D105">
        <f>_xlfn.XLOOKUP(E105,Nodes!$D:$D,Nodes!$A:$A)</f>
        <v>62</v>
      </c>
      <c r="E105" s="5" t="s">
        <v>75</v>
      </c>
      <c r="F105" s="1">
        <f t="shared" si="6"/>
        <v>152.365858406999</v>
      </c>
      <c r="G105" s="3">
        <f t="shared" si="7"/>
        <v>0.984878153274906</v>
      </c>
      <c r="H105" s="1" t="s">
        <v>91</v>
      </c>
      <c r="I105">
        <f>_xlfn.XLOOKUP(B105,Nodes!$A:$A,Nodes!$B:$B)</f>
        <v>46.948</v>
      </c>
      <c r="J105">
        <f>_xlfn.XLOOKUP(B105,Nodes!$A:$A,Nodes!$C:$C)</f>
        <v>7.448</v>
      </c>
      <c r="K105">
        <f>_xlfn.XLOOKUP(D105,Nodes!$A:$A,Nodes!$B:$B)</f>
        <v>46.028</v>
      </c>
      <c r="L105">
        <f>_xlfn.XLOOKUP(D105,Nodes!$A:$A,Nodes!$C:$C)</f>
        <v>8.923</v>
      </c>
    </row>
    <row r="106" spans="1:12">
      <c r="A106">
        <v>105</v>
      </c>
      <c r="B106">
        <f>_xlfn.XLOOKUP(C106,Nodes!$D:$D,Nodes!$A:$A)</f>
        <v>65</v>
      </c>
      <c r="C106" s="5" t="s">
        <v>78</v>
      </c>
      <c r="D106">
        <f>_xlfn.XLOOKUP(E106,Nodes!$D:$D,Nodes!$A:$A)</f>
        <v>61</v>
      </c>
      <c r="E106" s="5" t="s">
        <v>74</v>
      </c>
      <c r="F106" s="1">
        <f t="shared" si="6"/>
        <v>74.3956230986784</v>
      </c>
      <c r="G106" s="3">
        <f t="shared" si="7"/>
        <v>0.992587673489334</v>
      </c>
      <c r="H106" s="1" t="s">
        <v>91</v>
      </c>
      <c r="I106">
        <f>_xlfn.XLOOKUP(B106,Nodes!$A:$A,Nodes!$B:$B)</f>
        <v>47.56</v>
      </c>
      <c r="J106">
        <f>_xlfn.XLOOKUP(B106,Nodes!$A:$A,Nodes!$C:$C)</f>
        <v>7.589</v>
      </c>
      <c r="K106">
        <f>_xlfn.XLOOKUP(D106,Nodes!$A:$A,Nodes!$B:$B)</f>
        <v>47.377</v>
      </c>
      <c r="L106">
        <f>_xlfn.XLOOKUP(D106,Nodes!$A:$A,Nodes!$C:$C)</f>
        <v>8.541</v>
      </c>
    </row>
    <row r="107" spans="1:12">
      <c r="A107">
        <v>106</v>
      </c>
      <c r="B107">
        <f>_xlfn.XLOOKUP(C107,Nodes!$D:$D,Nodes!$A:$A)</f>
        <v>61</v>
      </c>
      <c r="C107" s="5" t="s">
        <v>74</v>
      </c>
      <c r="D107">
        <f>_xlfn.XLOOKUP(E107,Nodes!$D:$D,Nodes!$A:$A)</f>
        <v>62</v>
      </c>
      <c r="E107" s="5" t="s">
        <v>75</v>
      </c>
      <c r="F107" s="1">
        <f t="shared" si="6"/>
        <v>152.803658553317</v>
      </c>
      <c r="G107" s="3">
        <f t="shared" si="7"/>
        <v>0.984835034082836</v>
      </c>
      <c r="H107" s="1" t="s">
        <v>91</v>
      </c>
      <c r="I107">
        <f>_xlfn.XLOOKUP(B107,Nodes!$A:$A,Nodes!$B:$B)</f>
        <v>47.377</v>
      </c>
      <c r="J107">
        <f>_xlfn.XLOOKUP(B107,Nodes!$A:$A,Nodes!$C:$C)</f>
        <v>8.541</v>
      </c>
      <c r="K107">
        <f>_xlfn.XLOOKUP(D107,Nodes!$A:$A,Nodes!$B:$B)</f>
        <v>46.028</v>
      </c>
      <c r="L107">
        <f>_xlfn.XLOOKUP(D107,Nodes!$A:$A,Nodes!$C:$C)</f>
        <v>8.923</v>
      </c>
    </row>
    <row r="108" spans="1:12">
      <c r="A108">
        <v>107</v>
      </c>
      <c r="B108">
        <f>_xlfn.XLOOKUP(C108,Nodes!$D:$D,Nodes!$A:$A)</f>
        <v>61</v>
      </c>
      <c r="C108" s="5" t="s">
        <v>74</v>
      </c>
      <c r="D108">
        <f>_xlfn.XLOOKUP(E108,Nodes!$D:$D,Nodes!$A:$A)</f>
        <v>63</v>
      </c>
      <c r="E108" s="5" t="s">
        <v>76</v>
      </c>
      <c r="F108" s="1">
        <f t="shared" si="6"/>
        <v>129.198989560499</v>
      </c>
      <c r="G108" s="3">
        <f t="shared" si="7"/>
        <v>0.987162566911955</v>
      </c>
      <c r="H108" s="1" t="s">
        <v>91</v>
      </c>
      <c r="I108">
        <f>_xlfn.XLOOKUP(B108,Nodes!$A:$A,Nodes!$B:$B)</f>
        <v>47.377</v>
      </c>
      <c r="J108">
        <f>_xlfn.XLOOKUP(B108,Nodes!$A:$A,Nodes!$C:$C)</f>
        <v>8.541</v>
      </c>
      <c r="K108">
        <f>_xlfn.XLOOKUP(D108,Nodes!$A:$A,Nodes!$B:$B)</f>
        <v>46.99</v>
      </c>
      <c r="L108">
        <f>_xlfn.XLOOKUP(D108,Nodes!$A:$A,Nodes!$C:$C)</f>
        <v>6.929</v>
      </c>
    </row>
    <row r="109" spans="1:12">
      <c r="A109">
        <v>108</v>
      </c>
      <c r="B109">
        <f>_xlfn.XLOOKUP(C109,Nodes!$D:$D,Nodes!$A:$A)</f>
        <v>61</v>
      </c>
      <c r="C109" s="5" t="s">
        <v>74</v>
      </c>
      <c r="D109">
        <f>_xlfn.XLOOKUP(E109,Nodes!$D:$D,Nodes!$A:$A)</f>
        <v>60</v>
      </c>
      <c r="E109" s="5" t="s">
        <v>73</v>
      </c>
      <c r="F109" s="1">
        <f t="shared" si="6"/>
        <v>95.4139547509019</v>
      </c>
      <c r="G109" s="3">
        <f t="shared" si="7"/>
        <v>0.990503506640534</v>
      </c>
      <c r="H109" s="1" t="s">
        <v>91</v>
      </c>
      <c r="I109">
        <f>_xlfn.XLOOKUP(B109,Nodes!$A:$A,Nodes!$B:$B)</f>
        <v>47.377</v>
      </c>
      <c r="J109">
        <f>_xlfn.XLOOKUP(B109,Nodes!$A:$A,Nodes!$C:$C)</f>
        <v>8.541</v>
      </c>
      <c r="K109">
        <f>_xlfn.XLOOKUP(D109,Nodes!$A:$A,Nodes!$B:$B)</f>
        <v>46.948</v>
      </c>
      <c r="L109">
        <f>_xlfn.XLOOKUP(D109,Nodes!$A:$A,Nodes!$C:$C)</f>
        <v>7.448</v>
      </c>
    </row>
    <row r="110" spans="1:12">
      <c r="A110">
        <v>109</v>
      </c>
      <c r="B110">
        <f>_xlfn.XLOOKUP(C110,Nodes!$D:$D,Nodes!$A:$A)</f>
        <v>20</v>
      </c>
      <c r="C110" t="s">
        <v>30</v>
      </c>
      <c r="D110">
        <f>_xlfn.XLOOKUP(E110,Nodes!$D:$D,Nodes!$A:$A)</f>
        <v>15</v>
      </c>
      <c r="E110" t="s">
        <v>24</v>
      </c>
      <c r="F110" s="1">
        <f t="shared" ref="F110:F122" si="8">6371*2*ASIN(SQRT(SIN(RADIANS((K110-I110)/2))^2+COS(RADIANS(I110))*COS(RADIANS(K110))*SIN(RADIANS((L110-J110)/2))^2))</f>
        <v>412.335883673199</v>
      </c>
      <c r="G110" s="3">
        <f t="shared" ref="G110:G122" si="9">(0.9999)^F110</f>
        <v>0.959602972684583</v>
      </c>
      <c r="H110" s="1" t="s">
        <v>91</v>
      </c>
      <c r="I110">
        <f>_xlfn.XLOOKUP(B110,Nodes!$A:$A,Nodes!$B:$B)</f>
        <v>48.85</v>
      </c>
      <c r="J110">
        <f>_xlfn.XLOOKUP(B110,Nodes!$A:$A,Nodes!$C:$C)</f>
        <v>2.35</v>
      </c>
      <c r="K110">
        <f>_xlfn.XLOOKUP(D110,Nodes!$A:$A,Nodes!$B:$B)</f>
        <v>51.23</v>
      </c>
      <c r="L110">
        <f>_xlfn.XLOOKUP(D110,Nodes!$A:$A,Nodes!$C:$C)</f>
        <v>6.78</v>
      </c>
    </row>
    <row r="111" spans="1:12">
      <c r="A111">
        <v>110</v>
      </c>
      <c r="B111">
        <f>_xlfn.XLOOKUP(C111,Nodes!$D:$D,Nodes!$A:$A)</f>
        <v>24</v>
      </c>
      <c r="C111" t="s">
        <v>34</v>
      </c>
      <c r="D111">
        <f>_xlfn.XLOOKUP(E111,Nodes!$D:$D,Nodes!$A:$A)</f>
        <v>2</v>
      </c>
      <c r="E111" t="s">
        <v>11</v>
      </c>
      <c r="F111" s="1">
        <f t="shared" si="8"/>
        <v>181.68111908818</v>
      </c>
      <c r="G111" s="3">
        <f t="shared" si="9"/>
        <v>0.981995041160667</v>
      </c>
      <c r="H111" s="1" t="s">
        <v>91</v>
      </c>
      <c r="I111">
        <f>_xlfn.XLOOKUP(B111,Nodes!$A:$A,Nodes!$B:$B)</f>
        <v>48.58</v>
      </c>
      <c r="J111">
        <f>_xlfn.XLOOKUP(B111,Nodes!$A:$A,Nodes!$C:$C)</f>
        <v>7.75</v>
      </c>
      <c r="K111">
        <f>_xlfn.XLOOKUP(D111,Nodes!$A:$A,Nodes!$B:$B)</f>
        <v>50.1</v>
      </c>
      <c r="L111">
        <f>_xlfn.XLOOKUP(D111,Nodes!$A:$A,Nodes!$C:$C)</f>
        <v>8.67</v>
      </c>
    </row>
    <row r="112" spans="1:12">
      <c r="A112">
        <v>111</v>
      </c>
      <c r="B112">
        <f>_xlfn.XLOOKUP(C112,Nodes!$D:$D,Nodes!$A:$A)</f>
        <v>24</v>
      </c>
      <c r="C112" t="s">
        <v>34</v>
      </c>
      <c r="D112">
        <f>_xlfn.XLOOKUP(E112,Nodes!$D:$D,Nodes!$A:$A)</f>
        <v>61</v>
      </c>
      <c r="E112" t="s">
        <v>74</v>
      </c>
      <c r="F112" s="1">
        <f t="shared" si="8"/>
        <v>146.14970884641</v>
      </c>
      <c r="G112" s="3">
        <f t="shared" si="9"/>
        <v>0.985490589217133</v>
      </c>
      <c r="H112" s="1" t="s">
        <v>91</v>
      </c>
      <c r="I112">
        <f>_xlfn.XLOOKUP(B112,Nodes!$A:$A,Nodes!$B:$B)</f>
        <v>48.58</v>
      </c>
      <c r="J112">
        <f>_xlfn.XLOOKUP(B112,Nodes!$A:$A,Nodes!$C:$C)</f>
        <v>7.75</v>
      </c>
      <c r="K112">
        <f>_xlfn.XLOOKUP(D112,Nodes!$A:$A,Nodes!$B:$B)</f>
        <v>47.377</v>
      </c>
      <c r="L112">
        <f>_xlfn.XLOOKUP(D112,Nodes!$A:$A,Nodes!$C:$C)</f>
        <v>8.541</v>
      </c>
    </row>
    <row r="113" spans="1:12">
      <c r="A113">
        <v>112</v>
      </c>
      <c r="B113">
        <f>_xlfn.XLOOKUP(C113,Nodes!$D:$D,Nodes!$A:$A)</f>
        <v>7</v>
      </c>
      <c r="C113" t="s">
        <v>16</v>
      </c>
      <c r="D113">
        <f>_xlfn.XLOOKUP(E113,Nodes!$D:$D,Nodes!$A:$A)</f>
        <v>36</v>
      </c>
      <c r="E113" t="s">
        <v>46</v>
      </c>
      <c r="F113" s="1">
        <f t="shared" si="8"/>
        <v>347.605001746788</v>
      </c>
      <c r="G113" s="3">
        <f t="shared" si="9"/>
        <v>0.965835027523139</v>
      </c>
      <c r="H113" s="1" t="s">
        <v>91</v>
      </c>
      <c r="I113">
        <f>_xlfn.XLOOKUP(B113,Nodes!$A:$A,Nodes!$B:$B)</f>
        <v>48.13</v>
      </c>
      <c r="J113">
        <f>_xlfn.XLOOKUP(B113,Nodes!$A:$A,Nodes!$C:$C)</f>
        <v>11.57</v>
      </c>
      <c r="K113">
        <f>_xlfn.XLOOKUP(D113,Nodes!$A:$A,Nodes!$B:$B)</f>
        <v>45.47</v>
      </c>
      <c r="L113">
        <f>_xlfn.XLOOKUP(D113,Nodes!$A:$A,Nodes!$C:$C)</f>
        <v>9.17</v>
      </c>
    </row>
    <row r="114" spans="1:12">
      <c r="A114">
        <v>113</v>
      </c>
      <c r="B114">
        <f>_xlfn.XLOOKUP(C114,Nodes!$D:$D,Nodes!$A:$A)</f>
        <v>36</v>
      </c>
      <c r="C114" t="s">
        <v>46</v>
      </c>
      <c r="D114">
        <f>_xlfn.XLOOKUP(E114,Nodes!$D:$D,Nodes!$A:$A)</f>
        <v>62</v>
      </c>
      <c r="E114" t="s">
        <v>75</v>
      </c>
      <c r="F114" s="1">
        <f t="shared" si="8"/>
        <v>64.9391746357608</v>
      </c>
      <c r="G114" s="3">
        <f t="shared" si="9"/>
        <v>0.993526799834368</v>
      </c>
      <c r="H114" s="1" t="s">
        <v>91</v>
      </c>
      <c r="I114">
        <f>_xlfn.XLOOKUP(B114,Nodes!$A:$A,Nodes!$B:$B)</f>
        <v>45.47</v>
      </c>
      <c r="J114">
        <f>_xlfn.XLOOKUP(B114,Nodes!$A:$A,Nodes!$C:$C)</f>
        <v>9.17</v>
      </c>
      <c r="K114">
        <f>_xlfn.XLOOKUP(D114,Nodes!$A:$A,Nodes!$B:$B)</f>
        <v>46.028</v>
      </c>
      <c r="L114">
        <f>_xlfn.XLOOKUP(D114,Nodes!$A:$A,Nodes!$C:$C)</f>
        <v>8.923</v>
      </c>
    </row>
    <row r="115" spans="1:12">
      <c r="A115">
        <v>114</v>
      </c>
      <c r="B115">
        <f>_xlfn.XLOOKUP(C115,Nodes!$D:$D,Nodes!$A:$A)</f>
        <v>64</v>
      </c>
      <c r="C115" t="s">
        <v>77</v>
      </c>
      <c r="D115">
        <f>_xlfn.XLOOKUP(E115,Nodes!$D:$D,Nodes!$A:$A)</f>
        <v>34</v>
      </c>
      <c r="E115" t="s">
        <v>44</v>
      </c>
      <c r="F115" s="1">
        <f t="shared" si="8"/>
        <v>114.330717263717</v>
      </c>
      <c r="G115" s="3">
        <f t="shared" si="9"/>
        <v>0.988631472276681</v>
      </c>
      <c r="H115" s="1" t="s">
        <v>91</v>
      </c>
      <c r="I115">
        <f>_xlfn.XLOOKUP(B115,Nodes!$A:$A,Nodes!$B:$B)</f>
        <v>46.205</v>
      </c>
      <c r="J115">
        <f>_xlfn.XLOOKUP(B115,Nodes!$A:$A,Nodes!$C:$C)</f>
        <v>6.142</v>
      </c>
      <c r="K115">
        <f>_xlfn.XLOOKUP(D115,Nodes!$A:$A,Nodes!$B:$B)</f>
        <v>45.73</v>
      </c>
      <c r="L115">
        <f>_xlfn.XLOOKUP(D115,Nodes!$A:$A,Nodes!$C:$C)</f>
        <v>4.83</v>
      </c>
    </row>
    <row r="116" spans="1:12">
      <c r="A116">
        <v>115</v>
      </c>
      <c r="B116">
        <f>_xlfn.XLOOKUP(C116,Nodes!$D:$D,Nodes!$A:$A)</f>
        <v>31</v>
      </c>
      <c r="C116" t="s">
        <v>41</v>
      </c>
      <c r="D116">
        <f>_xlfn.XLOOKUP(E116,Nodes!$D:$D,Nodes!$A:$A)</f>
        <v>37</v>
      </c>
      <c r="E116" t="s">
        <v>48</v>
      </c>
      <c r="F116" s="1">
        <f t="shared" si="8"/>
        <v>153.931131214778</v>
      </c>
      <c r="G116" s="3">
        <f t="shared" si="9"/>
        <v>0.98472399733287</v>
      </c>
      <c r="H116" s="1" t="s">
        <v>91</v>
      </c>
      <c r="I116">
        <f>_xlfn.XLOOKUP(B116,Nodes!$A:$A,Nodes!$B:$B)</f>
        <v>45.19</v>
      </c>
      <c r="J116">
        <f>_xlfn.XLOOKUP(B116,Nodes!$A:$A,Nodes!$C:$C)</f>
        <v>5.72</v>
      </c>
      <c r="K116">
        <f>_xlfn.XLOOKUP(D116,Nodes!$A:$A,Nodes!$B:$B)</f>
        <v>45.079167</v>
      </c>
      <c r="L116">
        <f>_xlfn.XLOOKUP(D116,Nodes!$A:$A,Nodes!$C:$C)</f>
        <v>7.676111</v>
      </c>
    </row>
    <row r="117" spans="1:12">
      <c r="A117">
        <v>116</v>
      </c>
      <c r="B117">
        <f>_xlfn.XLOOKUP(C117,Nodes!$D:$D,Nodes!$A:$A)</f>
        <v>35</v>
      </c>
      <c r="C117" t="s">
        <v>45</v>
      </c>
      <c r="D117">
        <f>_xlfn.XLOOKUP(E117,Nodes!$D:$D,Nodes!$A:$A)</f>
        <v>41</v>
      </c>
      <c r="E117" t="s">
        <v>52</v>
      </c>
      <c r="F117" s="1">
        <f t="shared" si="8"/>
        <v>604.448215425229</v>
      </c>
      <c r="G117" s="3">
        <f t="shared" si="9"/>
        <v>0.941342864430555</v>
      </c>
      <c r="H117" s="1" t="s">
        <v>91</v>
      </c>
      <c r="I117">
        <f>_xlfn.XLOOKUP(B117,Nodes!$A:$A,Nodes!$B:$B)</f>
        <v>43.3</v>
      </c>
      <c r="J117">
        <f>_xlfn.XLOOKUP(B117,Nodes!$A:$A,Nodes!$C:$C)</f>
        <v>5.37</v>
      </c>
      <c r="K117">
        <f>_xlfn.XLOOKUP(D117,Nodes!$A:$A,Nodes!$B:$B)</f>
        <v>41.88</v>
      </c>
      <c r="L117">
        <f>_xlfn.XLOOKUP(D117,Nodes!$A:$A,Nodes!$C:$C)</f>
        <v>12.5</v>
      </c>
    </row>
    <row r="118" spans="1:12">
      <c r="A118">
        <v>117</v>
      </c>
      <c r="B118">
        <f>_xlfn.XLOOKUP(C118,Nodes!$D:$D,Nodes!$A:$A)</f>
        <v>35</v>
      </c>
      <c r="C118" t="s">
        <v>45</v>
      </c>
      <c r="D118">
        <f>_xlfn.XLOOKUP(E118,Nodes!$D:$D,Nodes!$A:$A)</f>
        <v>54</v>
      </c>
      <c r="E118" t="s">
        <v>66</v>
      </c>
      <c r="F118" s="1">
        <f t="shared" si="8"/>
        <v>338.632914691228</v>
      </c>
      <c r="G118" s="3">
        <f t="shared" si="9"/>
        <v>0.966702015344425</v>
      </c>
      <c r="H118" s="1" t="s">
        <v>91</v>
      </c>
      <c r="I118">
        <f>_xlfn.XLOOKUP(B118,Nodes!$A:$A,Nodes!$B:$B)</f>
        <v>43.3</v>
      </c>
      <c r="J118">
        <f>_xlfn.XLOOKUP(B118,Nodes!$A:$A,Nodes!$C:$C)</f>
        <v>5.37</v>
      </c>
      <c r="K118">
        <f>_xlfn.XLOOKUP(D118,Nodes!$A:$A,Nodes!$B:$B)</f>
        <v>41.39</v>
      </c>
      <c r="L118">
        <f>_xlfn.XLOOKUP(D118,Nodes!$A:$A,Nodes!$C:$C)</f>
        <v>2.16</v>
      </c>
    </row>
    <row r="119" spans="1:12">
      <c r="A119">
        <v>118</v>
      </c>
      <c r="B119">
        <f>_xlfn.XLOOKUP(C119,Nodes!$D:$D,Nodes!$A:$A)</f>
        <v>57</v>
      </c>
      <c r="C119" t="s">
        <v>69</v>
      </c>
      <c r="D119">
        <f>_xlfn.XLOOKUP(E119,Nodes!$D:$D,Nodes!$A:$A)</f>
        <v>33</v>
      </c>
      <c r="E119" t="s">
        <v>43</v>
      </c>
      <c r="F119" s="1">
        <f t="shared" si="8"/>
        <v>555.054407651442</v>
      </c>
      <c r="G119" s="3">
        <f t="shared" si="9"/>
        <v>0.946004251057367</v>
      </c>
      <c r="H119" s="1" t="s">
        <v>91</v>
      </c>
      <c r="I119">
        <f>_xlfn.XLOOKUP(B119,Nodes!$A:$A,Nodes!$B:$B)</f>
        <v>40.42</v>
      </c>
      <c r="J119">
        <f>_xlfn.XLOOKUP(B119,Nodes!$A:$A,Nodes!$C:$C)</f>
        <v>-3.7</v>
      </c>
      <c r="K119">
        <f>_xlfn.XLOOKUP(D119,Nodes!$A:$A,Nodes!$B:$B)</f>
        <v>44.85</v>
      </c>
      <c r="L119">
        <f>_xlfn.XLOOKUP(D119,Nodes!$A:$A,Nodes!$C:$C)</f>
        <v>-0.57</v>
      </c>
    </row>
    <row r="120" spans="1:12">
      <c r="A120">
        <v>119</v>
      </c>
      <c r="B120">
        <f>_xlfn.XLOOKUP(C120,Nodes!$D:$D,Nodes!$A:$A)</f>
        <v>49</v>
      </c>
      <c r="C120" t="s">
        <v>60</v>
      </c>
      <c r="D120">
        <f>_xlfn.XLOOKUP(E120,Nodes!$D:$D,Nodes!$A:$A)</f>
        <v>29</v>
      </c>
      <c r="E120" t="s">
        <v>39</v>
      </c>
      <c r="F120" s="1">
        <f t="shared" si="8"/>
        <v>75.7660503558762</v>
      </c>
      <c r="G120" s="3">
        <f t="shared" si="9"/>
        <v>0.9924516490885</v>
      </c>
      <c r="H120" s="1" t="s">
        <v>91</v>
      </c>
      <c r="I120">
        <f>_xlfn.XLOOKUP(B120,Nodes!$A:$A,Nodes!$B:$B)</f>
        <v>42.82</v>
      </c>
      <c r="J120">
        <f>_xlfn.XLOOKUP(B120,Nodes!$A:$A,Nodes!$C:$C)</f>
        <v>-1.64</v>
      </c>
      <c r="K120">
        <f>_xlfn.XLOOKUP(D120,Nodes!$A:$A,Nodes!$B:$B)</f>
        <v>43.49</v>
      </c>
      <c r="L120">
        <f>_xlfn.XLOOKUP(D120,Nodes!$A:$A,Nodes!$C:$C)</f>
        <v>-1.47</v>
      </c>
    </row>
    <row r="121" spans="1:12">
      <c r="A121">
        <v>120</v>
      </c>
      <c r="B121">
        <f>_xlfn.XLOOKUP(C121,Nodes!$D:$D,Nodes!$A:$A)</f>
        <v>20</v>
      </c>
      <c r="C121" t="s">
        <v>30</v>
      </c>
      <c r="D121">
        <f>_xlfn.XLOOKUP(E121,Nodes!$D:$D,Nodes!$A:$A)</f>
        <v>2</v>
      </c>
      <c r="E121" t="s">
        <v>11</v>
      </c>
      <c r="F121" s="1">
        <f t="shared" si="8"/>
        <v>477.147187124951</v>
      </c>
      <c r="G121" s="3">
        <f t="shared" si="9"/>
        <v>0.953403462377469</v>
      </c>
      <c r="H121" s="1" t="s">
        <v>91</v>
      </c>
      <c r="I121">
        <f>_xlfn.XLOOKUP(B121,Nodes!$A:$A,Nodes!$B:$B)</f>
        <v>48.85</v>
      </c>
      <c r="J121">
        <f>_xlfn.XLOOKUP(B121,Nodes!$A:$A,Nodes!$C:$C)</f>
        <v>2.35</v>
      </c>
      <c r="K121">
        <f>_xlfn.XLOOKUP(D121,Nodes!$A:$A,Nodes!$B:$B)</f>
        <v>50.1</v>
      </c>
      <c r="L121">
        <f>_xlfn.XLOOKUP(D121,Nodes!$A:$A,Nodes!$C:$C)</f>
        <v>8.67</v>
      </c>
    </row>
    <row r="122" spans="1:12">
      <c r="A122">
        <v>121</v>
      </c>
      <c r="B122">
        <f>_xlfn.XLOOKUP(C122,Nodes!$D:$D,Nodes!$A:$A)</f>
        <v>18</v>
      </c>
      <c r="C122" t="s">
        <v>27</v>
      </c>
      <c r="D122">
        <f>_xlfn.XLOOKUP(E122,Nodes!$D:$D,Nodes!$A:$A)</f>
        <v>15</v>
      </c>
      <c r="E122" t="s">
        <v>24</v>
      </c>
      <c r="F122" s="1">
        <f t="shared" si="8"/>
        <v>344.961776573658</v>
      </c>
      <c r="G122" s="3">
        <f t="shared" si="9"/>
        <v>0.966090365980423</v>
      </c>
      <c r="H122" s="1" t="s">
        <v>91</v>
      </c>
      <c r="I122">
        <f>_xlfn.XLOOKUP(B122,Nodes!$A:$A,Nodes!$B:$B)</f>
        <v>50.95</v>
      </c>
      <c r="J122">
        <f>_xlfn.XLOOKUP(B122,Nodes!$A:$A,Nodes!$C:$C)</f>
        <v>1.86</v>
      </c>
      <c r="K122">
        <f>_xlfn.XLOOKUP(D122,Nodes!$A:$A,Nodes!$B:$B)</f>
        <v>51.23</v>
      </c>
      <c r="L122">
        <f>_xlfn.XLOOKUP(D122,Nodes!$A:$A,Nodes!$C:$C)</f>
        <v>6.78</v>
      </c>
    </row>
    <row r="123" spans="1:12">
      <c r="A123">
        <v>122</v>
      </c>
      <c r="B123">
        <f>_xlfn.XLOOKUP(C123,Nodes!$D:$D,Nodes!$A:$A)</f>
        <v>7</v>
      </c>
      <c r="C123" t="s">
        <v>16</v>
      </c>
      <c r="D123">
        <f>_xlfn.XLOOKUP(E123,Nodes!$D:$D,Nodes!$A:$A)</f>
        <v>61</v>
      </c>
      <c r="E123" t="s">
        <v>74</v>
      </c>
      <c r="F123" s="1">
        <f>6371*2*ASIN(SQRT(SIN(RADIANS((K123-I123)/2))^2+COS(RADIANS(I123))*COS(RADIANS(K123))*SIN(RADIANS((L123-J123)/2))^2))</f>
        <v>241.407764511915</v>
      </c>
      <c r="G123" s="3">
        <f>(0.9999)^F123</f>
        <v>0.976147103067192</v>
      </c>
      <c r="H123" s="1" t="s">
        <v>91</v>
      </c>
      <c r="I123">
        <f>_xlfn.XLOOKUP(B123,Nodes!$A:$A,Nodes!$B:$B)</f>
        <v>48.13</v>
      </c>
      <c r="J123">
        <f>_xlfn.XLOOKUP(B123,Nodes!$A:$A,Nodes!$C:$C)</f>
        <v>11.57</v>
      </c>
      <c r="K123">
        <f>_xlfn.XLOOKUP(D123,Nodes!$A:$A,Nodes!$B:$B)</f>
        <v>47.377</v>
      </c>
      <c r="L123">
        <f>_xlfn.XLOOKUP(D123,Nodes!$A:$A,Nodes!$C:$C)</f>
        <v>8.541</v>
      </c>
    </row>
  </sheetData>
  <conditionalFormatting sqref="F2:F123">
    <cfRule type="duplicateValues" dxfId="0" priority="1"/>
  </conditionalFormatting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Nodes</vt:lpstr>
      <vt:lpstr>Edges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 Sizhe</dc:creator>
  <cp:lastModifiedBy>csz</cp:lastModifiedBy>
  <dcterms:created xsi:type="dcterms:W3CDTF">2023-05-12T11:15:00Z</dcterms:created>
  <dcterms:modified xsi:type="dcterms:W3CDTF">2026-03-04T23:51:13Z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7516265C4F2E4BD494AD37B759587F3A_12</vt:lpwstr>
  </property>
  <property fmtid="{D5CDD505-2E9C-101B-9397-08002B2CF9AE}" pid="4" name="CalculationRule">
    <vt:i4>0</vt:i4>
  </property>
</Properties>
</file>